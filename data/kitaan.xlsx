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tbgp\data\"/>
    </mc:Choice>
  </mc:AlternateContent>
  <xr:revisionPtr revIDLastSave="0" documentId="13_ncr:1_{8831BA45-5674-4D5D-A71E-8E3388E13830}" xr6:coauthVersionLast="47" xr6:coauthVersionMax="47" xr10:uidLastSave="{00000000-0000-0000-0000-000000000000}"/>
  <bookViews>
    <workbookView xWindow="-108" yWindow="-108" windowWidth="23256" windowHeight="12456" firstSheet="4" activeTab="4" xr2:uid="{40EC24FD-D131-4FC8-97D5-15B7192F886F}"/>
  </bookViews>
  <sheets>
    <sheet name="members" sheetId="1" r:id="rId1"/>
    <sheet name="contractors" sheetId="2" r:id="rId2"/>
    <sheet name="commission" sheetId="3" r:id="rId3"/>
    <sheet name="level" sheetId="4" r:id="rId4"/>
    <sheet name="level (2)" sheetId="6" r:id="rId5"/>
    <sheet name="details" sheetId="5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3" i="6" l="1"/>
  <c r="M26" i="6" s="1"/>
  <c r="M14" i="6"/>
  <c r="M16" i="6" s="1"/>
  <c r="M5" i="6"/>
  <c r="M9" i="6" s="1"/>
  <c r="O4" i="4"/>
  <c r="O8" i="4" s="1"/>
  <c r="I62" i="4"/>
  <c r="Q44" i="4"/>
  <c r="R46" i="4" s="1"/>
  <c r="Q54" i="4"/>
  <c r="R57" i="4" s="1"/>
  <c r="Q34" i="4"/>
  <c r="I29" i="3"/>
  <c r="I28" i="3"/>
  <c r="I27" i="3"/>
  <c r="I26" i="3"/>
  <c r="I25" i="3"/>
  <c r="I24" i="3"/>
  <c r="I23" i="3"/>
  <c r="I22" i="3"/>
  <c r="N7" i="3"/>
  <c r="N14" i="3" s="1"/>
  <c r="I14" i="3"/>
  <c r="I7" i="3"/>
  <c r="I10" i="3" s="1"/>
  <c r="I8" i="3"/>
  <c r="M8" i="6" l="1"/>
  <c r="M7" i="6"/>
  <c r="N28" i="6"/>
  <c r="N27" i="6"/>
  <c r="N32" i="6"/>
  <c r="N31" i="6"/>
  <c r="N30" i="6"/>
  <c r="N29" i="6"/>
  <c r="N33" i="6"/>
  <c r="M21" i="6"/>
  <c r="M17" i="6"/>
  <c r="M35" i="6"/>
  <c r="M15" i="6"/>
  <c r="M20" i="6"/>
  <c r="M19" i="6"/>
  <c r="M18" i="6"/>
  <c r="M6" i="6"/>
  <c r="M24" i="6"/>
  <c r="M12" i="6"/>
  <c r="M45" i="6"/>
  <c r="M11" i="6"/>
  <c r="M44" i="6"/>
  <c r="M10" i="6"/>
  <c r="P11" i="4"/>
  <c r="P12" i="4"/>
  <c r="P9" i="4"/>
  <c r="P14" i="4"/>
  <c r="P13" i="4"/>
  <c r="P10" i="4"/>
  <c r="P15" i="4"/>
  <c r="Q62" i="4"/>
  <c r="O26" i="4"/>
  <c r="O6" i="4"/>
  <c r="O17" i="4"/>
  <c r="O28" i="4"/>
  <c r="R45" i="4"/>
  <c r="R51" i="4"/>
  <c r="O67" i="4" s="1"/>
  <c r="R50" i="4"/>
  <c r="R49" i="4"/>
  <c r="R48" i="4"/>
  <c r="R47" i="4"/>
  <c r="R56" i="4"/>
  <c r="R41" i="4"/>
  <c r="R39" i="4"/>
  <c r="R36" i="4"/>
  <c r="R58" i="4"/>
  <c r="O69" i="4" s="1"/>
  <c r="R35" i="4"/>
  <c r="R40" i="4"/>
  <c r="R38" i="4"/>
  <c r="R37" i="4"/>
  <c r="R59" i="4"/>
  <c r="R55" i="4"/>
  <c r="N13" i="3"/>
  <c r="N8" i="3"/>
  <c r="N9" i="3"/>
  <c r="N10" i="3"/>
  <c r="N11" i="3"/>
  <c r="N12" i="3"/>
  <c r="I13" i="3"/>
  <c r="I9" i="3"/>
  <c r="I12" i="3"/>
  <c r="I11" i="3"/>
  <c r="N37" i="6" l="1"/>
  <c r="N38" i="6"/>
  <c r="N39" i="6"/>
  <c r="N40" i="6"/>
  <c r="N41" i="6"/>
  <c r="N42" i="6"/>
  <c r="N36" i="6"/>
  <c r="P19" i="4"/>
  <c r="P20" i="4"/>
  <c r="P21" i="4"/>
  <c r="P23" i="4"/>
  <c r="P24" i="4"/>
  <c r="P18" i="4"/>
  <c r="P22" i="4"/>
  <c r="R52" i="4"/>
  <c r="O66" i="4"/>
  <c r="R42" i="4"/>
  <c r="R60" i="4"/>
  <c r="R62" i="4" l="1"/>
</calcChain>
</file>

<file path=xl/sharedStrings.xml><?xml version="1.0" encoding="utf-8"?>
<sst xmlns="http://schemas.openxmlformats.org/spreadsheetml/2006/main" count="366" uniqueCount="175">
  <si>
    <t>first_name</t>
  </si>
  <si>
    <t>last_name</t>
  </si>
  <si>
    <t>middle_name</t>
  </si>
  <si>
    <t>address</t>
  </si>
  <si>
    <t>MA. LOVELLA</t>
  </si>
  <si>
    <t>ACEBES</t>
  </si>
  <si>
    <t>ESCOLANO</t>
  </si>
  <si>
    <t>PETER JOHN</t>
  </si>
  <si>
    <t>GALOLO</t>
  </si>
  <si>
    <t>ALMA</t>
  </si>
  <si>
    <t>ACERA</t>
  </si>
  <si>
    <t>DOYSABAS</t>
  </si>
  <si>
    <t>YVONNE</t>
  </si>
  <si>
    <t>GACUTNO</t>
  </si>
  <si>
    <t>BRIGIDA</t>
  </si>
  <si>
    <t>ACERON</t>
  </si>
  <si>
    <t>BERSANO</t>
  </si>
  <si>
    <t>BRYAN</t>
  </si>
  <si>
    <t>BALABA</t>
  </si>
  <si>
    <t>JONNA LYKA</t>
  </si>
  <si>
    <t>GALANG</t>
  </si>
  <si>
    <t>RANAN</t>
  </si>
  <si>
    <t>AIZA JANE</t>
  </si>
  <si>
    <t>BANGOT</t>
  </si>
  <si>
    <t>GEVELO</t>
  </si>
  <si>
    <t>MARIA MAISIE</t>
  </si>
  <si>
    <t>SAJULAN</t>
  </si>
  <si>
    <t>MIEL</t>
  </si>
  <si>
    <t>LOUELA</t>
  </si>
  <si>
    <t>NANGKA</t>
  </si>
  <si>
    <t>SAJULGA</t>
  </si>
  <si>
    <t>CLETUS</t>
  </si>
  <si>
    <t>CAIDO</t>
  </si>
  <si>
    <t>ACHA</t>
  </si>
  <si>
    <t>ACHAS</t>
  </si>
  <si>
    <t>JUNEL</t>
  </si>
  <si>
    <t>DINAWANAO</t>
  </si>
  <si>
    <t>MA. KIMBERLY</t>
  </si>
  <si>
    <t>BOLAER</t>
  </si>
  <si>
    <t>MICHELLE</t>
  </si>
  <si>
    <t>QUIROY</t>
  </si>
  <si>
    <t>GRACE</t>
  </si>
  <si>
    <t>SALAS</t>
  </si>
  <si>
    <t>DAGUPLO</t>
  </si>
  <si>
    <t>VICTOR</t>
  </si>
  <si>
    <t>MUNOZ</t>
  </si>
  <si>
    <t>JADE CALVIN</t>
  </si>
  <si>
    <t>ACLAN</t>
  </si>
  <si>
    <t>BAJADE</t>
  </si>
  <si>
    <t>HAROLD</t>
  </si>
  <si>
    <t>ASUAL</t>
  </si>
  <si>
    <t>WILGE</t>
  </si>
  <si>
    <t>ERAS</t>
  </si>
  <si>
    <t>JONEL</t>
  </si>
  <si>
    <t>ACEBU</t>
  </si>
  <si>
    <t>JOHN NICKOL DEV</t>
  </si>
  <si>
    <t>LECTANA</t>
  </si>
  <si>
    <t>member_id</t>
  </si>
  <si>
    <t>batch</t>
  </si>
  <si>
    <t>referrer_id</t>
  </si>
  <si>
    <t>RAÑOA</t>
  </si>
  <si>
    <t>cp_no</t>
  </si>
  <si>
    <t>date_joined</t>
  </si>
  <si>
    <t>001001</t>
  </si>
  <si>
    <t>001002</t>
  </si>
  <si>
    <t>001003</t>
  </si>
  <si>
    <t>001004</t>
  </si>
  <si>
    <t>001005</t>
  </si>
  <si>
    <t>002001</t>
  </si>
  <si>
    <t>002002</t>
  </si>
  <si>
    <t>002003</t>
  </si>
  <si>
    <t>002004</t>
  </si>
  <si>
    <t>002005</t>
  </si>
  <si>
    <t>003001</t>
  </si>
  <si>
    <t>003002</t>
  </si>
  <si>
    <t>003003</t>
  </si>
  <si>
    <t>003004</t>
  </si>
  <si>
    <t>003005</t>
  </si>
  <si>
    <t>004001</t>
  </si>
  <si>
    <t>004002</t>
  </si>
  <si>
    <t>004003</t>
  </si>
  <si>
    <t>004004</t>
  </si>
  <si>
    <t>004005</t>
  </si>
  <si>
    <t>005001</t>
  </si>
  <si>
    <t>005002</t>
  </si>
  <si>
    <t>005003</t>
  </si>
  <si>
    <t>005004</t>
  </si>
  <si>
    <t>005005</t>
  </si>
  <si>
    <t>JEFFERSON NIÑO</t>
  </si>
  <si>
    <t>suffix</t>
  </si>
  <si>
    <t>II</t>
  </si>
  <si>
    <t>LUKES</t>
  </si>
  <si>
    <t>JR</t>
  </si>
  <si>
    <t>6/25/2026</t>
  </si>
  <si>
    <t>6/20/2026</t>
  </si>
  <si>
    <t>6/21/2026</t>
  </si>
  <si>
    <t>6/22/2026</t>
  </si>
  <si>
    <t>6/23/2026</t>
  </si>
  <si>
    <t>contractor_id</t>
  </si>
  <si>
    <t>company_name</t>
  </si>
  <si>
    <t>construction 1</t>
  </si>
  <si>
    <t>representative_name</t>
  </si>
  <si>
    <t>member_referrer_id</t>
  </si>
  <si>
    <t>Ako To</t>
  </si>
  <si>
    <t>contact_no</t>
  </si>
  <si>
    <t>09072015275</t>
  </si>
  <si>
    <t>company_address</t>
  </si>
  <si>
    <t>6/26/2026</t>
  </si>
  <si>
    <t>MANDATE</t>
  </si>
  <si>
    <t>Commision</t>
  </si>
  <si>
    <t>Ref Client (50%)</t>
  </si>
  <si>
    <t>MA_2</t>
  </si>
  <si>
    <t>Juan</t>
  </si>
  <si>
    <t>Pedro</t>
  </si>
  <si>
    <t>Philip</t>
  </si>
  <si>
    <t>Marga</t>
  </si>
  <si>
    <t>Patrick</t>
  </si>
  <si>
    <t>Scenario 1:</t>
  </si>
  <si>
    <t>7-Patrick has ref client</t>
  </si>
  <si>
    <t>8-Mark has ref client</t>
  </si>
  <si>
    <t>Mark</t>
  </si>
  <si>
    <t>* mother account is gone</t>
  </si>
  <si>
    <t>Scenario 2:</t>
  </si>
  <si>
    <t>Scenario 3:</t>
  </si>
  <si>
    <t>3-Juan has ref client</t>
  </si>
  <si>
    <t>membership_type</t>
  </si>
  <si>
    <t>birth_date</t>
  </si>
  <si>
    <t>gender</t>
  </si>
  <si>
    <t>civil_status</t>
  </si>
  <si>
    <t>highest_education</t>
  </si>
  <si>
    <t>occupation_income_source</t>
  </si>
  <si>
    <t>number_of_dependents</t>
  </si>
  <si>
    <t>email</t>
  </si>
  <si>
    <t>phone</t>
  </si>
  <si>
    <t>status</t>
  </si>
  <si>
    <t>termination_date</t>
  </si>
  <si>
    <t>L.</t>
  </si>
  <si>
    <t>Active</t>
  </si>
  <si>
    <t>Mandate</t>
  </si>
  <si>
    <t>Mother Account</t>
  </si>
  <si>
    <t>ProF</t>
  </si>
  <si>
    <t>beneficiary_name</t>
  </si>
  <si>
    <t>beneficiary_address</t>
  </si>
  <si>
    <t>momthly_income</t>
  </si>
  <si>
    <t>beneficiary_phone</t>
  </si>
  <si>
    <t>termination_type</t>
  </si>
  <si>
    <t>Inactive</t>
  </si>
  <si>
    <t>Terminated</t>
  </si>
  <si>
    <t>* The 28% (140,000) unshared funds goes to Poorest of the Poor (POP) account.</t>
  </si>
  <si>
    <t>INCOME BASE:</t>
  </si>
  <si>
    <t>Commission</t>
  </si>
  <si>
    <t>Ref Client</t>
  </si>
  <si>
    <t>Ref Contractor</t>
  </si>
  <si>
    <t>Services</t>
  </si>
  <si>
    <t>profit sharing</t>
  </si>
  <si>
    <t>platform</t>
  </si>
  <si>
    <t>Supplies</t>
  </si>
  <si>
    <t>Other Services</t>
  </si>
  <si>
    <t>*</t>
  </si>
  <si>
    <t>(7 to mandate scheme)</t>
  </si>
  <si>
    <t>(35% scheme)</t>
  </si>
  <si>
    <t>Founders prerogative</t>
  </si>
  <si>
    <t>POP</t>
  </si>
  <si>
    <t>Platform (Admin-M7)</t>
  </si>
  <si>
    <t>Platform (M7)</t>
  </si>
  <si>
    <t>MA</t>
  </si>
  <si>
    <t>L5</t>
  </si>
  <si>
    <t>L4</t>
  </si>
  <si>
    <t>L3</t>
  </si>
  <si>
    <t>L2</t>
  </si>
  <si>
    <t>Referrer</t>
  </si>
  <si>
    <t>* Referrer:</t>
  </si>
  <si>
    <t>*POP</t>
  </si>
  <si>
    <t>(+ Flushing if referrer is L5 to L2)</t>
  </si>
  <si>
    <t>35% Scheme: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</si>
</sst>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1B5E20"/>
        <bgColor rgb="FF1B5E2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0" fillId="0" borderId="0" xfId="0" quotePrefix="1"/>
    <xf numFmtId="0" fontId="2" fillId="2" borderId="0" xfId="0" applyFont="1" applyFill="1"/>
    <xf numFmtId="0" fontId="0" fillId="0" borderId="1" xfId="0" applyBorder="1"/>
    <xf numFmtId="43" fontId="0" fillId="0" borderId="2" xfId="1" applyFont="1" applyBorder="1"/>
    <xf numFmtId="43" fontId="0" fillId="0" borderId="1" xfId="1" applyFont="1" applyBorder="1"/>
    <xf numFmtId="43" fontId="0" fillId="0" borderId="1" xfId="0" applyNumberFormat="1" applyBorder="1"/>
    <xf numFmtId="9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4" fillId="0" borderId="0" xfId="0" applyFont="1"/>
    <xf numFmtId="0" fontId="0" fillId="0" borderId="6" xfId="0" applyBorder="1"/>
    <xf numFmtId="0" fontId="5" fillId="3" borderId="0" xfId="0" applyFont="1" applyFill="1"/>
    <xf numFmtId="9" fontId="0" fillId="0" borderId="0" xfId="0" applyNumberFormat="1"/>
    <xf numFmtId="9" fontId="4" fillId="0" borderId="0" xfId="0" applyNumberFormat="1" applyFont="1"/>
    <xf numFmtId="0" fontId="6" fillId="0" borderId="0" xfId="0" applyFont="1"/>
    <xf numFmtId="0" fontId="0" fillId="0" borderId="0" xfId="0" applyFont="1"/>
    <xf numFmtId="43" fontId="0" fillId="0" borderId="0" xfId="1" applyFont="1"/>
    <xf numFmtId="43" fontId="0" fillId="0" borderId="0" xfId="0" applyNumberFormat="1"/>
    <xf numFmtId="0" fontId="0" fillId="0" borderId="0" xfId="0" applyBorder="1"/>
    <xf numFmtId="9" fontId="0" fillId="0" borderId="0" xfId="0" applyNumberFormat="1" applyBorder="1"/>
    <xf numFmtId="0" fontId="0" fillId="0" borderId="7" xfId="0" applyBorder="1"/>
    <xf numFmtId="9" fontId="0" fillId="0" borderId="7" xfId="0" applyNumberFormat="1" applyBorder="1"/>
    <xf numFmtId="43" fontId="0" fillId="0" borderId="7" xfId="1" applyFont="1" applyBorder="1"/>
    <xf numFmtId="9" fontId="4" fillId="0" borderId="7" xfId="0" applyNumberFormat="1" applyFont="1" applyBorder="1"/>
    <xf numFmtId="0" fontId="4" fillId="0" borderId="7" xfId="0" applyFont="1" applyBorder="1"/>
    <xf numFmtId="43" fontId="0" fillId="0" borderId="7" xfId="0" applyNumberFormat="1" applyBorder="1"/>
    <xf numFmtId="9" fontId="0" fillId="0" borderId="8" xfId="0" applyNumberFormat="1" applyBorder="1"/>
    <xf numFmtId="0" fontId="0" fillId="0" borderId="8" xfId="0" applyBorder="1"/>
    <xf numFmtId="43" fontId="0" fillId="0" borderId="8" xfId="1" applyFont="1" applyBorder="1"/>
    <xf numFmtId="43" fontId="0" fillId="0" borderId="8" xfId="0" applyNumberFormat="1" applyBorder="1"/>
    <xf numFmtId="9" fontId="0" fillId="0" borderId="9" xfId="0" applyNumberFormat="1" applyBorder="1"/>
    <xf numFmtId="0" fontId="0" fillId="0" borderId="9" xfId="0" applyBorder="1"/>
    <xf numFmtId="43" fontId="0" fillId="0" borderId="9" xfId="0" applyNumberFormat="1" applyBorder="1"/>
    <xf numFmtId="43" fontId="0" fillId="0" borderId="0" xfId="0" applyNumberFormat="1" applyBorder="1"/>
    <xf numFmtId="9" fontId="4" fillId="0" borderId="0" xfId="0" applyNumberFormat="1" applyFont="1" applyBorder="1"/>
    <xf numFmtId="0" fontId="4" fillId="0" borderId="0" xfId="0" applyFont="1" applyBorder="1"/>
    <xf numFmtId="0" fontId="4" fillId="0" borderId="9" xfId="0" applyFont="1" applyBorder="1"/>
    <xf numFmtId="43" fontId="0" fillId="0" borderId="9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095310E-3941-4363-BFD5-FA2003145FC3}" type="doc">
      <dgm:prSet loTypeId="urn:microsoft.com/office/officeart/2009/layout/CirclePictureHierarchy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PH"/>
        </a:p>
      </dgm:t>
    </dgm:pt>
    <dgm:pt modelId="{475B39FA-04F9-4EE9-A9D5-3A28A734AE42}">
      <dgm:prSet phldrT="[Text]"/>
      <dgm:spPr/>
      <dgm:t>
        <a:bodyPr/>
        <a:lstStyle/>
        <a:p>
          <a:r>
            <a:rPr lang="en-PH" dirty="0"/>
            <a:t>MANDATE</a:t>
          </a:r>
        </a:p>
      </dgm:t>
    </dgm:pt>
    <dgm:pt modelId="{4ED266CF-21FD-4C80-8572-4B572E0002CB}" type="parTrans" cxnId="{0B83375F-87BC-43DF-AA0A-6BC78281ED67}">
      <dgm:prSet/>
      <dgm:spPr/>
      <dgm:t>
        <a:bodyPr/>
        <a:lstStyle/>
        <a:p>
          <a:endParaRPr lang="en-PH"/>
        </a:p>
      </dgm:t>
    </dgm:pt>
    <dgm:pt modelId="{B0083C05-F4BF-408E-9A4B-EF77962FED31}" type="sibTrans" cxnId="{0B83375F-87BC-43DF-AA0A-6BC78281ED67}">
      <dgm:prSet/>
      <dgm:spPr/>
      <dgm:t>
        <a:bodyPr/>
        <a:lstStyle/>
        <a:p>
          <a:endParaRPr lang="en-PH"/>
        </a:p>
      </dgm:t>
    </dgm:pt>
    <dgm:pt modelId="{8A68BB7C-9F1C-48FF-B5EC-4A84110F6A7B}">
      <dgm:prSet phldrT="[Text]"/>
      <dgm:spPr/>
      <dgm:t>
        <a:bodyPr/>
        <a:lstStyle/>
        <a:p>
          <a:r>
            <a:rPr lang="en-PH" dirty="0"/>
            <a:t>3-Juan</a:t>
          </a:r>
        </a:p>
      </dgm:t>
    </dgm:pt>
    <dgm:pt modelId="{9677B264-7D0E-405A-B99D-835BF7364E6C}" type="parTrans" cxnId="{69906576-1873-4702-A6A6-FAD510D183C8}">
      <dgm:prSet/>
      <dgm:spPr/>
      <dgm:t>
        <a:bodyPr/>
        <a:lstStyle/>
        <a:p>
          <a:endParaRPr lang="en-PH"/>
        </a:p>
      </dgm:t>
    </dgm:pt>
    <dgm:pt modelId="{7E5A780C-C6CC-4085-9234-18B63F743E5A}" type="sibTrans" cxnId="{69906576-1873-4702-A6A6-FAD510D183C8}">
      <dgm:prSet/>
      <dgm:spPr/>
      <dgm:t>
        <a:bodyPr/>
        <a:lstStyle/>
        <a:p>
          <a:endParaRPr lang="en-PH"/>
        </a:p>
      </dgm:t>
    </dgm:pt>
    <dgm:pt modelId="{D64E16A3-CE82-4EA2-A793-5DADDD920358}">
      <dgm:prSet phldrT="[Text]"/>
      <dgm:spPr/>
      <dgm:t>
        <a:bodyPr/>
        <a:lstStyle/>
        <a:p>
          <a:r>
            <a:rPr lang="en-PH" dirty="0"/>
            <a:t>4-Jose</a:t>
          </a:r>
        </a:p>
      </dgm:t>
    </dgm:pt>
    <dgm:pt modelId="{6463D55F-C4D4-4471-9DDB-A55C6A9EC7F5}" type="parTrans" cxnId="{7D5B7850-3851-414E-AB7A-1D81842062A5}">
      <dgm:prSet/>
      <dgm:spPr/>
      <dgm:t>
        <a:bodyPr/>
        <a:lstStyle/>
        <a:p>
          <a:endParaRPr lang="en-PH"/>
        </a:p>
      </dgm:t>
    </dgm:pt>
    <dgm:pt modelId="{BE75EFAF-A3A8-4ACB-8DBD-BC62AD0BBBF2}" type="sibTrans" cxnId="{7D5B7850-3851-414E-AB7A-1D81842062A5}">
      <dgm:prSet/>
      <dgm:spPr/>
      <dgm:t>
        <a:bodyPr/>
        <a:lstStyle/>
        <a:p>
          <a:endParaRPr lang="en-PH"/>
        </a:p>
      </dgm:t>
    </dgm:pt>
    <dgm:pt modelId="{CBF8C53A-4A7B-41F7-8570-6BB76D3809C0}">
      <dgm:prSet phldrT="[Text]"/>
      <dgm:spPr/>
      <dgm:t>
        <a:bodyPr/>
        <a:lstStyle/>
        <a:p>
          <a:r>
            <a:rPr lang="en-PH" dirty="0"/>
            <a:t>4-Pedro</a:t>
          </a:r>
        </a:p>
      </dgm:t>
    </dgm:pt>
    <dgm:pt modelId="{E9CF3F79-27DA-4A2B-960A-E13063784AEF}" type="parTrans" cxnId="{3B9B6F24-959D-4767-8101-056603F0AD71}">
      <dgm:prSet/>
      <dgm:spPr/>
      <dgm:t>
        <a:bodyPr/>
        <a:lstStyle/>
        <a:p>
          <a:endParaRPr lang="en-PH"/>
        </a:p>
      </dgm:t>
    </dgm:pt>
    <dgm:pt modelId="{368CF4C5-89EB-4D0C-B918-04B9B2ED9C55}" type="sibTrans" cxnId="{3B9B6F24-959D-4767-8101-056603F0AD71}">
      <dgm:prSet/>
      <dgm:spPr/>
      <dgm:t>
        <a:bodyPr/>
        <a:lstStyle/>
        <a:p>
          <a:endParaRPr lang="en-PH"/>
        </a:p>
      </dgm:t>
    </dgm:pt>
    <dgm:pt modelId="{1779B339-1EBF-4D42-9509-CCFE8108B577}">
      <dgm:prSet phldrT="[Text]"/>
      <dgm:spPr/>
      <dgm:t>
        <a:bodyPr/>
        <a:lstStyle/>
        <a:p>
          <a:r>
            <a:rPr lang="en-PH" dirty="0"/>
            <a:t>5-Philip</a:t>
          </a:r>
        </a:p>
      </dgm:t>
    </dgm:pt>
    <dgm:pt modelId="{BD73BBEB-DF15-42C3-8124-8ECA23CB3E4A}" type="parTrans" cxnId="{BDB6F0A8-FE0F-4B1E-A3BC-A734B2D47F7D}">
      <dgm:prSet/>
      <dgm:spPr/>
      <dgm:t>
        <a:bodyPr/>
        <a:lstStyle/>
        <a:p>
          <a:endParaRPr lang="en-PH"/>
        </a:p>
      </dgm:t>
    </dgm:pt>
    <dgm:pt modelId="{391FF82F-BED7-49A3-9EC4-BFF0F782A58D}" type="sibTrans" cxnId="{BDB6F0A8-FE0F-4B1E-A3BC-A734B2D47F7D}">
      <dgm:prSet/>
      <dgm:spPr/>
      <dgm:t>
        <a:bodyPr/>
        <a:lstStyle/>
        <a:p>
          <a:endParaRPr lang="en-PH"/>
        </a:p>
      </dgm:t>
    </dgm:pt>
    <dgm:pt modelId="{E130F574-CFA4-46A2-8749-8E4BBA29065C}">
      <dgm:prSet phldrT="[Text]"/>
      <dgm:spPr/>
      <dgm:t>
        <a:bodyPr/>
        <a:lstStyle/>
        <a:p>
          <a:r>
            <a:rPr lang="en-PH" dirty="0"/>
            <a:t>6-Marga</a:t>
          </a:r>
        </a:p>
      </dgm:t>
    </dgm:pt>
    <dgm:pt modelId="{BDD91C8F-800B-4629-9AE5-4FEB8DB90CB2}" type="parTrans" cxnId="{88DE9149-B951-48DD-A036-7E2754871439}">
      <dgm:prSet/>
      <dgm:spPr/>
      <dgm:t>
        <a:bodyPr/>
        <a:lstStyle/>
        <a:p>
          <a:endParaRPr lang="en-PH"/>
        </a:p>
      </dgm:t>
    </dgm:pt>
    <dgm:pt modelId="{E36E949A-6CE6-44C3-9E50-68021602D6D2}" type="sibTrans" cxnId="{88DE9149-B951-48DD-A036-7E2754871439}">
      <dgm:prSet/>
      <dgm:spPr/>
      <dgm:t>
        <a:bodyPr/>
        <a:lstStyle/>
        <a:p>
          <a:endParaRPr lang="en-PH"/>
        </a:p>
      </dgm:t>
    </dgm:pt>
    <dgm:pt modelId="{7DEB057C-68C7-4291-9D61-62D153CB50C3}">
      <dgm:prSet phldrT="[Text]"/>
      <dgm:spPr/>
      <dgm:t>
        <a:bodyPr/>
        <a:lstStyle/>
        <a:p>
          <a:r>
            <a:rPr lang="en-PH" dirty="0"/>
            <a:t>7-Patrick</a:t>
          </a:r>
        </a:p>
      </dgm:t>
    </dgm:pt>
    <dgm:pt modelId="{F0B33C29-518C-4BDC-8D2C-9D1ADDDACBF6}" type="parTrans" cxnId="{DD2AF462-F567-431E-B298-D3FA303F354B}">
      <dgm:prSet/>
      <dgm:spPr/>
      <dgm:t>
        <a:bodyPr/>
        <a:lstStyle/>
        <a:p>
          <a:endParaRPr lang="en-PH"/>
        </a:p>
      </dgm:t>
    </dgm:pt>
    <dgm:pt modelId="{98943BD4-8FCA-4CD4-902E-19E01CF8CF26}" type="sibTrans" cxnId="{DD2AF462-F567-431E-B298-D3FA303F354B}">
      <dgm:prSet/>
      <dgm:spPr/>
      <dgm:t>
        <a:bodyPr/>
        <a:lstStyle/>
        <a:p>
          <a:endParaRPr lang="en-PH"/>
        </a:p>
      </dgm:t>
    </dgm:pt>
    <dgm:pt modelId="{8EB2E026-56E2-48E0-BD31-8F671354648F}">
      <dgm:prSet phldrT="[Text]"/>
      <dgm:spPr/>
      <dgm:t>
        <a:bodyPr/>
        <a:lstStyle/>
        <a:p>
          <a:r>
            <a:rPr lang="en-PH" dirty="0"/>
            <a:t>8-Mark</a:t>
          </a:r>
        </a:p>
      </dgm:t>
    </dgm:pt>
    <dgm:pt modelId="{3CC4778F-2927-4C88-A4B7-D2A127ABFA95}" type="parTrans" cxnId="{98220F2E-2E69-46C3-8F0E-62C3A4FCFD69}">
      <dgm:prSet/>
      <dgm:spPr/>
      <dgm:t>
        <a:bodyPr/>
        <a:lstStyle/>
        <a:p>
          <a:endParaRPr lang="en-PH"/>
        </a:p>
      </dgm:t>
    </dgm:pt>
    <dgm:pt modelId="{4ABED2AB-ED17-444C-8063-4281FEBDF841}" type="sibTrans" cxnId="{98220F2E-2E69-46C3-8F0E-62C3A4FCFD69}">
      <dgm:prSet/>
      <dgm:spPr/>
      <dgm:t>
        <a:bodyPr/>
        <a:lstStyle/>
        <a:p>
          <a:endParaRPr lang="en-PH"/>
        </a:p>
      </dgm:t>
    </dgm:pt>
    <dgm:pt modelId="{20F406DA-B508-4918-9133-38C1E3823FF0}">
      <dgm:prSet phldrT="[Text]"/>
      <dgm:spPr/>
      <dgm:t>
        <a:bodyPr/>
        <a:lstStyle/>
        <a:p>
          <a:r>
            <a:rPr lang="en-PH" dirty="0"/>
            <a:t>2-MA_1</a:t>
          </a:r>
        </a:p>
      </dgm:t>
    </dgm:pt>
    <dgm:pt modelId="{0B17D13E-D5AB-4A94-B3E9-3D71893D69B5}" type="parTrans" cxnId="{0F8EFE2F-6EA8-45C0-9BEC-4A0D072D546D}">
      <dgm:prSet/>
      <dgm:spPr/>
      <dgm:t>
        <a:bodyPr/>
        <a:lstStyle/>
        <a:p>
          <a:endParaRPr lang="en-PH"/>
        </a:p>
      </dgm:t>
    </dgm:pt>
    <dgm:pt modelId="{C1490109-A293-4FF9-84AB-CA592268844B}" type="sibTrans" cxnId="{0F8EFE2F-6EA8-45C0-9BEC-4A0D072D546D}">
      <dgm:prSet/>
      <dgm:spPr/>
      <dgm:t>
        <a:bodyPr/>
        <a:lstStyle/>
        <a:p>
          <a:endParaRPr lang="en-PH"/>
        </a:p>
      </dgm:t>
    </dgm:pt>
    <dgm:pt modelId="{79B0C798-4CF8-443A-A013-F45EACF929EA}">
      <dgm:prSet phldrT="[Text]"/>
      <dgm:spPr/>
      <dgm:t>
        <a:bodyPr/>
        <a:lstStyle/>
        <a:p>
          <a:r>
            <a:rPr lang="en-PH" dirty="0"/>
            <a:t>2-MA_2</a:t>
          </a:r>
        </a:p>
      </dgm:t>
    </dgm:pt>
    <dgm:pt modelId="{B1AF70F4-ACE1-49A0-9E17-C6F962098207}" type="parTrans" cxnId="{4BB72932-0794-4826-B9C0-FA464DC0C5CB}">
      <dgm:prSet/>
      <dgm:spPr/>
      <dgm:t>
        <a:bodyPr/>
        <a:lstStyle/>
        <a:p>
          <a:endParaRPr lang="en-PH"/>
        </a:p>
      </dgm:t>
    </dgm:pt>
    <dgm:pt modelId="{0F1F46EF-DFAD-4E18-B01F-B2EE35EF7BD2}" type="sibTrans" cxnId="{4BB72932-0794-4826-B9C0-FA464DC0C5CB}">
      <dgm:prSet/>
      <dgm:spPr/>
      <dgm:t>
        <a:bodyPr/>
        <a:lstStyle/>
        <a:p>
          <a:endParaRPr lang="en-PH"/>
        </a:p>
      </dgm:t>
    </dgm:pt>
    <dgm:pt modelId="{69D6AD0A-21E8-415B-8A2C-E5AC6AB011F4}" type="pres">
      <dgm:prSet presAssocID="{2095310E-3941-4363-BFD5-FA2003145FC3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A0115EAB-8DA0-4A6A-9D1B-33533C0496B5}" type="pres">
      <dgm:prSet presAssocID="{475B39FA-04F9-4EE9-A9D5-3A28A734AE42}" presName="hierRoot1" presStyleCnt="0"/>
      <dgm:spPr/>
    </dgm:pt>
    <dgm:pt modelId="{3F108D28-72D2-4F5F-8486-55FCEEE35562}" type="pres">
      <dgm:prSet presAssocID="{475B39FA-04F9-4EE9-A9D5-3A28A734AE42}" presName="composite" presStyleCnt="0"/>
      <dgm:spPr/>
    </dgm:pt>
    <dgm:pt modelId="{756C696D-1E55-46E8-874A-4AB02685EF58}" type="pres">
      <dgm:prSet presAssocID="{475B39FA-04F9-4EE9-A9D5-3A28A734AE42}" presName="image" presStyleLbl="node0" presStyleIdx="0" presStyleCnt="1"/>
      <dgm:spPr/>
    </dgm:pt>
    <dgm:pt modelId="{64EAF088-DC33-430C-A897-39EFAC3AB44C}" type="pres">
      <dgm:prSet presAssocID="{475B39FA-04F9-4EE9-A9D5-3A28A734AE42}" presName="text" presStyleLbl="revTx" presStyleIdx="0" presStyleCnt="10">
        <dgm:presLayoutVars>
          <dgm:chPref val="3"/>
        </dgm:presLayoutVars>
      </dgm:prSet>
      <dgm:spPr/>
    </dgm:pt>
    <dgm:pt modelId="{10B08671-8C3F-4982-98BD-9CF8F16C3B02}" type="pres">
      <dgm:prSet presAssocID="{475B39FA-04F9-4EE9-A9D5-3A28A734AE42}" presName="hierChild2" presStyleCnt="0"/>
      <dgm:spPr/>
    </dgm:pt>
    <dgm:pt modelId="{A5B7BDDF-0594-40B1-BA87-7DCEDE9BDC29}" type="pres">
      <dgm:prSet presAssocID="{0B17D13E-D5AB-4A94-B3E9-3D71893D69B5}" presName="Name10" presStyleLbl="parChTrans1D2" presStyleIdx="0" presStyleCnt="2"/>
      <dgm:spPr/>
    </dgm:pt>
    <dgm:pt modelId="{04447071-389E-453C-AEC1-11F4F1AFA947}" type="pres">
      <dgm:prSet presAssocID="{20F406DA-B508-4918-9133-38C1E3823FF0}" presName="hierRoot2" presStyleCnt="0"/>
      <dgm:spPr/>
    </dgm:pt>
    <dgm:pt modelId="{00757FAC-026D-46A0-8518-4796798206C4}" type="pres">
      <dgm:prSet presAssocID="{20F406DA-B508-4918-9133-38C1E3823FF0}" presName="composite2" presStyleCnt="0"/>
      <dgm:spPr/>
    </dgm:pt>
    <dgm:pt modelId="{F31F489F-7415-48FB-AFD3-9F9CECBF39AD}" type="pres">
      <dgm:prSet presAssocID="{20F406DA-B508-4918-9133-38C1E3823FF0}" presName="image2" presStyleLbl="node2" presStyleIdx="0" presStyleCnt="2"/>
      <dgm:spPr/>
    </dgm:pt>
    <dgm:pt modelId="{30A1683C-D8CA-4535-98EF-9D130F451455}" type="pres">
      <dgm:prSet presAssocID="{20F406DA-B508-4918-9133-38C1E3823FF0}" presName="text2" presStyleLbl="revTx" presStyleIdx="1" presStyleCnt="10">
        <dgm:presLayoutVars>
          <dgm:chPref val="3"/>
        </dgm:presLayoutVars>
      </dgm:prSet>
      <dgm:spPr/>
    </dgm:pt>
    <dgm:pt modelId="{B41255A2-20F4-4CEF-A428-D0FD7E07049D}" type="pres">
      <dgm:prSet presAssocID="{20F406DA-B508-4918-9133-38C1E3823FF0}" presName="hierChild3" presStyleCnt="0"/>
      <dgm:spPr/>
    </dgm:pt>
    <dgm:pt modelId="{31AC73A1-DFFF-4F33-98CA-E663C54CCDE3}" type="pres">
      <dgm:prSet presAssocID="{B1AF70F4-ACE1-49A0-9E17-C6F962098207}" presName="Name10" presStyleLbl="parChTrans1D2" presStyleIdx="1" presStyleCnt="2"/>
      <dgm:spPr/>
    </dgm:pt>
    <dgm:pt modelId="{A27C0673-4A5E-4980-9DE9-5D3E3061F7C9}" type="pres">
      <dgm:prSet presAssocID="{79B0C798-4CF8-443A-A013-F45EACF929EA}" presName="hierRoot2" presStyleCnt="0"/>
      <dgm:spPr/>
    </dgm:pt>
    <dgm:pt modelId="{68EFA1D7-CAB1-413E-9F11-5C3BB9B2C68B}" type="pres">
      <dgm:prSet presAssocID="{79B0C798-4CF8-443A-A013-F45EACF929EA}" presName="composite2" presStyleCnt="0"/>
      <dgm:spPr/>
    </dgm:pt>
    <dgm:pt modelId="{D62CF203-E2B4-4CE8-964E-6F48DD23912D}" type="pres">
      <dgm:prSet presAssocID="{79B0C798-4CF8-443A-A013-F45EACF929EA}" presName="image2" presStyleLbl="node2" presStyleIdx="1" presStyleCnt="2"/>
      <dgm:spPr/>
    </dgm:pt>
    <dgm:pt modelId="{3CE3413D-B8D8-4D27-A727-09BE5DA4453E}" type="pres">
      <dgm:prSet presAssocID="{79B0C798-4CF8-443A-A013-F45EACF929EA}" presName="text2" presStyleLbl="revTx" presStyleIdx="2" presStyleCnt="10">
        <dgm:presLayoutVars>
          <dgm:chPref val="3"/>
        </dgm:presLayoutVars>
      </dgm:prSet>
      <dgm:spPr/>
    </dgm:pt>
    <dgm:pt modelId="{7F44F398-8907-4E3C-8FFD-66A2494ABC8A}" type="pres">
      <dgm:prSet presAssocID="{79B0C798-4CF8-443A-A013-F45EACF929EA}" presName="hierChild3" presStyleCnt="0"/>
      <dgm:spPr/>
    </dgm:pt>
    <dgm:pt modelId="{25D94A77-8DC9-4954-B1AB-50B456F238A3}" type="pres">
      <dgm:prSet presAssocID="{9677B264-7D0E-405A-B99D-835BF7364E6C}" presName="Name17" presStyleLbl="parChTrans1D3" presStyleIdx="0" presStyleCnt="1"/>
      <dgm:spPr/>
    </dgm:pt>
    <dgm:pt modelId="{3D7E706D-3976-4CD2-B698-8C78EE24A667}" type="pres">
      <dgm:prSet presAssocID="{8A68BB7C-9F1C-48FF-B5EC-4A84110F6A7B}" presName="hierRoot3" presStyleCnt="0"/>
      <dgm:spPr/>
    </dgm:pt>
    <dgm:pt modelId="{B7C27A79-A95B-49DD-9479-EA20D49FF326}" type="pres">
      <dgm:prSet presAssocID="{8A68BB7C-9F1C-48FF-B5EC-4A84110F6A7B}" presName="composite3" presStyleCnt="0"/>
      <dgm:spPr/>
    </dgm:pt>
    <dgm:pt modelId="{36788B12-3FBF-4306-B69A-27344FB14E2A}" type="pres">
      <dgm:prSet presAssocID="{8A68BB7C-9F1C-48FF-B5EC-4A84110F6A7B}" presName="image3" presStyleLbl="node3" presStyleIdx="0" presStyleCnt="1"/>
      <dgm:spPr/>
    </dgm:pt>
    <dgm:pt modelId="{61439746-05C7-4B27-AA8F-7A96D8793EA7}" type="pres">
      <dgm:prSet presAssocID="{8A68BB7C-9F1C-48FF-B5EC-4A84110F6A7B}" presName="text3" presStyleLbl="revTx" presStyleIdx="3" presStyleCnt="10">
        <dgm:presLayoutVars>
          <dgm:chPref val="3"/>
        </dgm:presLayoutVars>
      </dgm:prSet>
      <dgm:spPr/>
    </dgm:pt>
    <dgm:pt modelId="{D1348EC1-7C17-4617-812F-0E96AA62BBB9}" type="pres">
      <dgm:prSet presAssocID="{8A68BB7C-9F1C-48FF-B5EC-4A84110F6A7B}" presName="hierChild4" presStyleCnt="0"/>
      <dgm:spPr/>
    </dgm:pt>
    <dgm:pt modelId="{B7CAAA78-ABC3-4811-8DF7-C92568C80A15}" type="pres">
      <dgm:prSet presAssocID="{6463D55F-C4D4-4471-9DDB-A55C6A9EC7F5}" presName="Name23" presStyleLbl="parChTrans1D4" presStyleIdx="0" presStyleCnt="6"/>
      <dgm:spPr/>
    </dgm:pt>
    <dgm:pt modelId="{E6D9730E-B90B-4070-B076-2EC9E061E8BA}" type="pres">
      <dgm:prSet presAssocID="{D64E16A3-CE82-4EA2-A793-5DADDD920358}" presName="hierRoot4" presStyleCnt="0"/>
      <dgm:spPr/>
    </dgm:pt>
    <dgm:pt modelId="{4E4D980C-B742-44BE-B7E8-146AD626D282}" type="pres">
      <dgm:prSet presAssocID="{D64E16A3-CE82-4EA2-A793-5DADDD920358}" presName="composite4" presStyleCnt="0"/>
      <dgm:spPr/>
    </dgm:pt>
    <dgm:pt modelId="{E94FB629-2989-4EC8-9D0E-C3B7A857615A}" type="pres">
      <dgm:prSet presAssocID="{D64E16A3-CE82-4EA2-A793-5DADDD920358}" presName="image4" presStyleLbl="node4" presStyleIdx="0" presStyleCnt="6"/>
      <dgm:spPr/>
    </dgm:pt>
    <dgm:pt modelId="{BDD934CA-A3E8-4B8D-AA72-CC741D658AAE}" type="pres">
      <dgm:prSet presAssocID="{D64E16A3-CE82-4EA2-A793-5DADDD920358}" presName="text4" presStyleLbl="revTx" presStyleIdx="4" presStyleCnt="10">
        <dgm:presLayoutVars>
          <dgm:chPref val="3"/>
        </dgm:presLayoutVars>
      </dgm:prSet>
      <dgm:spPr/>
    </dgm:pt>
    <dgm:pt modelId="{E4D4071C-5BC5-47B4-A779-CAF3EBE02EB1}" type="pres">
      <dgm:prSet presAssocID="{D64E16A3-CE82-4EA2-A793-5DADDD920358}" presName="hierChild5" presStyleCnt="0"/>
      <dgm:spPr/>
    </dgm:pt>
    <dgm:pt modelId="{425D039C-508D-4F33-AE33-1AFCA297724D}" type="pres">
      <dgm:prSet presAssocID="{E9CF3F79-27DA-4A2B-960A-E13063784AEF}" presName="Name23" presStyleLbl="parChTrans1D4" presStyleIdx="1" presStyleCnt="6"/>
      <dgm:spPr/>
    </dgm:pt>
    <dgm:pt modelId="{173FF9AD-FEB4-4A1C-B728-6D2E21BA4BA0}" type="pres">
      <dgm:prSet presAssocID="{CBF8C53A-4A7B-41F7-8570-6BB76D3809C0}" presName="hierRoot4" presStyleCnt="0"/>
      <dgm:spPr/>
    </dgm:pt>
    <dgm:pt modelId="{7596875D-3774-4ABF-A7D9-75A7662480B9}" type="pres">
      <dgm:prSet presAssocID="{CBF8C53A-4A7B-41F7-8570-6BB76D3809C0}" presName="composite4" presStyleCnt="0"/>
      <dgm:spPr/>
    </dgm:pt>
    <dgm:pt modelId="{DE8E6B84-C1B7-4F20-A3AE-2F91615E283E}" type="pres">
      <dgm:prSet presAssocID="{CBF8C53A-4A7B-41F7-8570-6BB76D3809C0}" presName="image4" presStyleLbl="node4" presStyleIdx="1" presStyleCnt="6"/>
      <dgm:spPr/>
    </dgm:pt>
    <dgm:pt modelId="{1159D27B-F89A-417A-BCAC-97638C77FFBB}" type="pres">
      <dgm:prSet presAssocID="{CBF8C53A-4A7B-41F7-8570-6BB76D3809C0}" presName="text4" presStyleLbl="revTx" presStyleIdx="5" presStyleCnt="10">
        <dgm:presLayoutVars>
          <dgm:chPref val="3"/>
        </dgm:presLayoutVars>
      </dgm:prSet>
      <dgm:spPr/>
    </dgm:pt>
    <dgm:pt modelId="{C6B333F7-657D-47B9-AC11-B253A197A395}" type="pres">
      <dgm:prSet presAssocID="{CBF8C53A-4A7B-41F7-8570-6BB76D3809C0}" presName="hierChild5" presStyleCnt="0"/>
      <dgm:spPr/>
    </dgm:pt>
    <dgm:pt modelId="{CA771F4B-51EB-4158-B218-6039759D8D72}" type="pres">
      <dgm:prSet presAssocID="{BD73BBEB-DF15-42C3-8124-8ECA23CB3E4A}" presName="Name23" presStyleLbl="parChTrans1D4" presStyleIdx="2" presStyleCnt="6"/>
      <dgm:spPr/>
    </dgm:pt>
    <dgm:pt modelId="{46788994-B53A-4BEE-8F67-88C278FD895C}" type="pres">
      <dgm:prSet presAssocID="{1779B339-1EBF-4D42-9509-CCFE8108B577}" presName="hierRoot4" presStyleCnt="0"/>
      <dgm:spPr/>
    </dgm:pt>
    <dgm:pt modelId="{C46E178C-1F88-4B29-8BCD-B2F77AC4BCB9}" type="pres">
      <dgm:prSet presAssocID="{1779B339-1EBF-4D42-9509-CCFE8108B577}" presName="composite4" presStyleCnt="0"/>
      <dgm:spPr/>
    </dgm:pt>
    <dgm:pt modelId="{B91021C6-8E47-42AE-B044-D23EB0385BFD}" type="pres">
      <dgm:prSet presAssocID="{1779B339-1EBF-4D42-9509-CCFE8108B577}" presName="image4" presStyleLbl="node4" presStyleIdx="2" presStyleCnt="6"/>
      <dgm:spPr/>
    </dgm:pt>
    <dgm:pt modelId="{4B187BC3-C453-403A-8FD5-FB5D491F8F4D}" type="pres">
      <dgm:prSet presAssocID="{1779B339-1EBF-4D42-9509-CCFE8108B577}" presName="text4" presStyleLbl="revTx" presStyleIdx="6" presStyleCnt="10">
        <dgm:presLayoutVars>
          <dgm:chPref val="3"/>
        </dgm:presLayoutVars>
      </dgm:prSet>
      <dgm:spPr/>
    </dgm:pt>
    <dgm:pt modelId="{98787773-88FF-447C-83CC-41EF4F5F2121}" type="pres">
      <dgm:prSet presAssocID="{1779B339-1EBF-4D42-9509-CCFE8108B577}" presName="hierChild5" presStyleCnt="0"/>
      <dgm:spPr/>
    </dgm:pt>
    <dgm:pt modelId="{176598DE-1621-401C-A133-0A22AFF1FD47}" type="pres">
      <dgm:prSet presAssocID="{BDD91C8F-800B-4629-9AE5-4FEB8DB90CB2}" presName="Name23" presStyleLbl="parChTrans1D4" presStyleIdx="3" presStyleCnt="6"/>
      <dgm:spPr/>
    </dgm:pt>
    <dgm:pt modelId="{D89DD7E1-A325-4E25-A850-EB5C6D2CEB89}" type="pres">
      <dgm:prSet presAssocID="{E130F574-CFA4-46A2-8749-8E4BBA29065C}" presName="hierRoot4" presStyleCnt="0"/>
      <dgm:spPr/>
    </dgm:pt>
    <dgm:pt modelId="{770CBBCB-39AF-409D-A063-13071130E08C}" type="pres">
      <dgm:prSet presAssocID="{E130F574-CFA4-46A2-8749-8E4BBA29065C}" presName="composite4" presStyleCnt="0"/>
      <dgm:spPr/>
    </dgm:pt>
    <dgm:pt modelId="{C484966C-76E3-45B5-A311-DCDF946004EB}" type="pres">
      <dgm:prSet presAssocID="{E130F574-CFA4-46A2-8749-8E4BBA29065C}" presName="image4" presStyleLbl="node4" presStyleIdx="3" presStyleCnt="6"/>
      <dgm:spPr/>
    </dgm:pt>
    <dgm:pt modelId="{F441D27C-8F96-4A15-9F9A-1F4FEB76CDA8}" type="pres">
      <dgm:prSet presAssocID="{E130F574-CFA4-46A2-8749-8E4BBA29065C}" presName="text4" presStyleLbl="revTx" presStyleIdx="7" presStyleCnt="10">
        <dgm:presLayoutVars>
          <dgm:chPref val="3"/>
        </dgm:presLayoutVars>
      </dgm:prSet>
      <dgm:spPr/>
    </dgm:pt>
    <dgm:pt modelId="{5EC8C5BA-7796-42DC-A434-C4CE1026E495}" type="pres">
      <dgm:prSet presAssocID="{E130F574-CFA4-46A2-8749-8E4BBA29065C}" presName="hierChild5" presStyleCnt="0"/>
      <dgm:spPr/>
    </dgm:pt>
    <dgm:pt modelId="{C15A3889-9171-42D4-8F68-C16770E32B84}" type="pres">
      <dgm:prSet presAssocID="{F0B33C29-518C-4BDC-8D2C-9D1ADDDACBF6}" presName="Name23" presStyleLbl="parChTrans1D4" presStyleIdx="4" presStyleCnt="6"/>
      <dgm:spPr/>
    </dgm:pt>
    <dgm:pt modelId="{9C0D50E0-54C4-4DBE-AE04-F9F366DA439D}" type="pres">
      <dgm:prSet presAssocID="{7DEB057C-68C7-4291-9D61-62D153CB50C3}" presName="hierRoot4" presStyleCnt="0"/>
      <dgm:spPr/>
    </dgm:pt>
    <dgm:pt modelId="{1DC04CFA-EA21-45E5-99EF-13E93D061723}" type="pres">
      <dgm:prSet presAssocID="{7DEB057C-68C7-4291-9D61-62D153CB50C3}" presName="composite4" presStyleCnt="0"/>
      <dgm:spPr/>
    </dgm:pt>
    <dgm:pt modelId="{B020B483-E715-4D25-8088-8A4079F74D6F}" type="pres">
      <dgm:prSet presAssocID="{7DEB057C-68C7-4291-9D61-62D153CB50C3}" presName="image4" presStyleLbl="node4" presStyleIdx="4" presStyleCnt="6"/>
      <dgm:spPr/>
    </dgm:pt>
    <dgm:pt modelId="{2FC15F7B-2D49-479E-9F44-C9F6DDE60508}" type="pres">
      <dgm:prSet presAssocID="{7DEB057C-68C7-4291-9D61-62D153CB50C3}" presName="text4" presStyleLbl="revTx" presStyleIdx="8" presStyleCnt="10">
        <dgm:presLayoutVars>
          <dgm:chPref val="3"/>
        </dgm:presLayoutVars>
      </dgm:prSet>
      <dgm:spPr/>
    </dgm:pt>
    <dgm:pt modelId="{471CEB3C-C45B-4C3D-B81C-E67889D67EBE}" type="pres">
      <dgm:prSet presAssocID="{7DEB057C-68C7-4291-9D61-62D153CB50C3}" presName="hierChild5" presStyleCnt="0"/>
      <dgm:spPr/>
    </dgm:pt>
    <dgm:pt modelId="{612C8BBC-9094-4BED-9D01-0491C3301088}" type="pres">
      <dgm:prSet presAssocID="{3CC4778F-2927-4C88-A4B7-D2A127ABFA95}" presName="Name23" presStyleLbl="parChTrans1D4" presStyleIdx="5" presStyleCnt="6"/>
      <dgm:spPr/>
    </dgm:pt>
    <dgm:pt modelId="{96FEB4B2-5759-4EAF-A505-19790F212C7A}" type="pres">
      <dgm:prSet presAssocID="{8EB2E026-56E2-48E0-BD31-8F671354648F}" presName="hierRoot4" presStyleCnt="0"/>
      <dgm:spPr/>
    </dgm:pt>
    <dgm:pt modelId="{A2A0DCE4-FCAA-47A4-8E04-566948FD4486}" type="pres">
      <dgm:prSet presAssocID="{8EB2E026-56E2-48E0-BD31-8F671354648F}" presName="composite4" presStyleCnt="0"/>
      <dgm:spPr/>
    </dgm:pt>
    <dgm:pt modelId="{707CAA61-F921-43CE-B0D3-19C9738E161D}" type="pres">
      <dgm:prSet presAssocID="{8EB2E026-56E2-48E0-BD31-8F671354648F}" presName="image4" presStyleLbl="node4" presStyleIdx="5" presStyleCnt="6"/>
      <dgm:spPr/>
    </dgm:pt>
    <dgm:pt modelId="{C1E6D319-1279-4278-938B-53B6D009C9A6}" type="pres">
      <dgm:prSet presAssocID="{8EB2E026-56E2-48E0-BD31-8F671354648F}" presName="text4" presStyleLbl="revTx" presStyleIdx="9" presStyleCnt="10">
        <dgm:presLayoutVars>
          <dgm:chPref val="3"/>
        </dgm:presLayoutVars>
      </dgm:prSet>
      <dgm:spPr/>
    </dgm:pt>
    <dgm:pt modelId="{29593A3E-37BC-43FF-AC6F-E4302CCDC48B}" type="pres">
      <dgm:prSet presAssocID="{8EB2E026-56E2-48E0-BD31-8F671354648F}" presName="hierChild5" presStyleCnt="0"/>
      <dgm:spPr/>
    </dgm:pt>
  </dgm:ptLst>
  <dgm:cxnLst>
    <dgm:cxn modelId="{FFDB4B11-B89B-47F5-8F56-ADB84F1EF9CD}" type="presOf" srcId="{BD73BBEB-DF15-42C3-8124-8ECA23CB3E4A}" destId="{CA771F4B-51EB-4158-B218-6039759D8D72}" srcOrd="0" destOrd="0" presId="urn:microsoft.com/office/officeart/2009/layout/CirclePictureHierarchy"/>
    <dgm:cxn modelId="{3B9B6F24-959D-4767-8101-056603F0AD71}" srcId="{8A68BB7C-9F1C-48FF-B5EC-4A84110F6A7B}" destId="{CBF8C53A-4A7B-41F7-8570-6BB76D3809C0}" srcOrd="1" destOrd="0" parTransId="{E9CF3F79-27DA-4A2B-960A-E13063784AEF}" sibTransId="{368CF4C5-89EB-4D0C-B918-04B9B2ED9C55}"/>
    <dgm:cxn modelId="{A83B8225-505E-4563-BE9A-9CA1A6F02192}" type="presOf" srcId="{20F406DA-B508-4918-9133-38C1E3823FF0}" destId="{30A1683C-D8CA-4535-98EF-9D130F451455}" srcOrd="0" destOrd="0" presId="urn:microsoft.com/office/officeart/2009/layout/CirclePictureHierarchy"/>
    <dgm:cxn modelId="{98220F2E-2E69-46C3-8F0E-62C3A4FCFD69}" srcId="{7DEB057C-68C7-4291-9D61-62D153CB50C3}" destId="{8EB2E026-56E2-48E0-BD31-8F671354648F}" srcOrd="0" destOrd="0" parTransId="{3CC4778F-2927-4C88-A4B7-D2A127ABFA95}" sibTransId="{4ABED2AB-ED17-444C-8063-4281FEBDF841}"/>
    <dgm:cxn modelId="{0F8EFE2F-6EA8-45C0-9BEC-4A0D072D546D}" srcId="{475B39FA-04F9-4EE9-A9D5-3A28A734AE42}" destId="{20F406DA-B508-4918-9133-38C1E3823FF0}" srcOrd="0" destOrd="0" parTransId="{0B17D13E-D5AB-4A94-B3E9-3D71893D69B5}" sibTransId="{C1490109-A293-4FF9-84AB-CA592268844B}"/>
    <dgm:cxn modelId="{4BB72932-0794-4826-B9C0-FA464DC0C5CB}" srcId="{475B39FA-04F9-4EE9-A9D5-3A28A734AE42}" destId="{79B0C798-4CF8-443A-A013-F45EACF929EA}" srcOrd="1" destOrd="0" parTransId="{B1AF70F4-ACE1-49A0-9E17-C6F962098207}" sibTransId="{0F1F46EF-DFAD-4E18-B01F-B2EE35EF7BD2}"/>
    <dgm:cxn modelId="{0B83375F-87BC-43DF-AA0A-6BC78281ED67}" srcId="{2095310E-3941-4363-BFD5-FA2003145FC3}" destId="{475B39FA-04F9-4EE9-A9D5-3A28A734AE42}" srcOrd="0" destOrd="0" parTransId="{4ED266CF-21FD-4C80-8572-4B572E0002CB}" sibTransId="{B0083C05-F4BF-408E-9A4B-EF77962FED31}"/>
    <dgm:cxn modelId="{DD2AF462-F567-431E-B298-D3FA303F354B}" srcId="{E130F574-CFA4-46A2-8749-8E4BBA29065C}" destId="{7DEB057C-68C7-4291-9D61-62D153CB50C3}" srcOrd="0" destOrd="0" parTransId="{F0B33C29-518C-4BDC-8D2C-9D1ADDDACBF6}" sibTransId="{98943BD4-8FCA-4CD4-902E-19E01CF8CF26}"/>
    <dgm:cxn modelId="{69FA8449-6DD0-45F6-B21C-A8F2813D6244}" type="presOf" srcId="{0B17D13E-D5AB-4A94-B3E9-3D71893D69B5}" destId="{A5B7BDDF-0594-40B1-BA87-7DCEDE9BDC29}" srcOrd="0" destOrd="0" presId="urn:microsoft.com/office/officeart/2009/layout/CirclePictureHierarchy"/>
    <dgm:cxn modelId="{88DE9149-B951-48DD-A036-7E2754871439}" srcId="{1779B339-1EBF-4D42-9509-CCFE8108B577}" destId="{E130F574-CFA4-46A2-8749-8E4BBA29065C}" srcOrd="0" destOrd="0" parTransId="{BDD91C8F-800B-4629-9AE5-4FEB8DB90CB2}" sibTransId="{E36E949A-6CE6-44C3-9E50-68021602D6D2}"/>
    <dgm:cxn modelId="{7D5B7850-3851-414E-AB7A-1D81842062A5}" srcId="{8A68BB7C-9F1C-48FF-B5EC-4A84110F6A7B}" destId="{D64E16A3-CE82-4EA2-A793-5DADDD920358}" srcOrd="0" destOrd="0" parTransId="{6463D55F-C4D4-4471-9DDB-A55C6A9EC7F5}" sibTransId="{BE75EFAF-A3A8-4ACB-8DBD-BC62AD0BBBF2}"/>
    <dgm:cxn modelId="{DC64EE70-C15E-44DB-B208-A8E499014F30}" type="presOf" srcId="{79B0C798-4CF8-443A-A013-F45EACF929EA}" destId="{3CE3413D-B8D8-4D27-A727-09BE5DA4453E}" srcOrd="0" destOrd="0" presId="urn:microsoft.com/office/officeart/2009/layout/CirclePictureHierarchy"/>
    <dgm:cxn modelId="{F2A1CB53-2D1E-4BDF-8599-F5CAAB1DDB29}" type="presOf" srcId="{CBF8C53A-4A7B-41F7-8570-6BB76D3809C0}" destId="{1159D27B-F89A-417A-BCAC-97638C77FFBB}" srcOrd="0" destOrd="0" presId="urn:microsoft.com/office/officeart/2009/layout/CirclePictureHierarchy"/>
    <dgm:cxn modelId="{69906576-1873-4702-A6A6-FAD510D183C8}" srcId="{79B0C798-4CF8-443A-A013-F45EACF929EA}" destId="{8A68BB7C-9F1C-48FF-B5EC-4A84110F6A7B}" srcOrd="0" destOrd="0" parTransId="{9677B264-7D0E-405A-B99D-835BF7364E6C}" sibTransId="{7E5A780C-C6CC-4085-9234-18B63F743E5A}"/>
    <dgm:cxn modelId="{6EC3C456-105F-429F-A306-63023541F0D1}" type="presOf" srcId="{E130F574-CFA4-46A2-8749-8E4BBA29065C}" destId="{F441D27C-8F96-4A15-9F9A-1F4FEB76CDA8}" srcOrd="0" destOrd="0" presId="urn:microsoft.com/office/officeart/2009/layout/CirclePictureHierarchy"/>
    <dgm:cxn modelId="{FC8EA977-2362-4541-AB39-A116199784F8}" type="presOf" srcId="{9677B264-7D0E-405A-B99D-835BF7364E6C}" destId="{25D94A77-8DC9-4954-B1AB-50B456F238A3}" srcOrd="0" destOrd="0" presId="urn:microsoft.com/office/officeart/2009/layout/CirclePictureHierarchy"/>
    <dgm:cxn modelId="{A98C1E78-1455-438D-869D-6D49985ECCB4}" type="presOf" srcId="{7DEB057C-68C7-4291-9D61-62D153CB50C3}" destId="{2FC15F7B-2D49-479E-9F44-C9F6DDE60508}" srcOrd="0" destOrd="0" presId="urn:microsoft.com/office/officeart/2009/layout/CirclePictureHierarchy"/>
    <dgm:cxn modelId="{80055F7A-C1C0-4E1F-9708-6F2A6A0CC5E4}" type="presOf" srcId="{8A68BB7C-9F1C-48FF-B5EC-4A84110F6A7B}" destId="{61439746-05C7-4B27-AA8F-7A96D8793EA7}" srcOrd="0" destOrd="0" presId="urn:microsoft.com/office/officeart/2009/layout/CirclePictureHierarchy"/>
    <dgm:cxn modelId="{DC1AF27E-2A63-43A8-96B7-33425EB6A228}" type="presOf" srcId="{475B39FA-04F9-4EE9-A9D5-3A28A734AE42}" destId="{64EAF088-DC33-430C-A897-39EFAC3AB44C}" srcOrd="0" destOrd="0" presId="urn:microsoft.com/office/officeart/2009/layout/CirclePictureHierarchy"/>
    <dgm:cxn modelId="{3B210B82-0A05-466E-B9CA-C3F6F62F6F81}" type="presOf" srcId="{BDD91C8F-800B-4629-9AE5-4FEB8DB90CB2}" destId="{176598DE-1621-401C-A133-0A22AFF1FD47}" srcOrd="0" destOrd="0" presId="urn:microsoft.com/office/officeart/2009/layout/CirclePictureHierarchy"/>
    <dgm:cxn modelId="{B4628786-6C05-4475-B754-FC33CAEE4C34}" type="presOf" srcId="{D64E16A3-CE82-4EA2-A793-5DADDD920358}" destId="{BDD934CA-A3E8-4B8D-AA72-CC741D658AAE}" srcOrd="0" destOrd="0" presId="urn:microsoft.com/office/officeart/2009/layout/CirclePictureHierarchy"/>
    <dgm:cxn modelId="{62207389-9B86-453B-A109-1407B50F0D84}" type="presOf" srcId="{F0B33C29-518C-4BDC-8D2C-9D1ADDDACBF6}" destId="{C15A3889-9171-42D4-8F68-C16770E32B84}" srcOrd="0" destOrd="0" presId="urn:microsoft.com/office/officeart/2009/layout/CirclePictureHierarchy"/>
    <dgm:cxn modelId="{FF2B6791-1B83-43A8-B558-28BB23F5CA6E}" type="presOf" srcId="{1779B339-1EBF-4D42-9509-CCFE8108B577}" destId="{4B187BC3-C453-403A-8FD5-FB5D491F8F4D}" srcOrd="0" destOrd="0" presId="urn:microsoft.com/office/officeart/2009/layout/CirclePictureHierarchy"/>
    <dgm:cxn modelId="{BDB6F0A8-FE0F-4B1E-A3BC-A734B2D47F7D}" srcId="{CBF8C53A-4A7B-41F7-8570-6BB76D3809C0}" destId="{1779B339-1EBF-4D42-9509-CCFE8108B577}" srcOrd="0" destOrd="0" parTransId="{BD73BBEB-DF15-42C3-8124-8ECA23CB3E4A}" sibTransId="{391FF82F-BED7-49A3-9EC4-BFF0F782A58D}"/>
    <dgm:cxn modelId="{FF5E98C3-733D-4484-A028-8E4ED369FBEB}" type="presOf" srcId="{8EB2E026-56E2-48E0-BD31-8F671354648F}" destId="{C1E6D319-1279-4278-938B-53B6D009C9A6}" srcOrd="0" destOrd="0" presId="urn:microsoft.com/office/officeart/2009/layout/CirclePictureHierarchy"/>
    <dgm:cxn modelId="{856FFBC9-818A-49C4-B6F7-FA0019398B94}" type="presOf" srcId="{2095310E-3941-4363-BFD5-FA2003145FC3}" destId="{69D6AD0A-21E8-415B-8A2C-E5AC6AB011F4}" srcOrd="0" destOrd="0" presId="urn:microsoft.com/office/officeart/2009/layout/CirclePictureHierarchy"/>
    <dgm:cxn modelId="{27CE24D4-8CB3-4712-8352-75EABA9D9E78}" type="presOf" srcId="{3CC4778F-2927-4C88-A4B7-D2A127ABFA95}" destId="{612C8BBC-9094-4BED-9D01-0491C3301088}" srcOrd="0" destOrd="0" presId="urn:microsoft.com/office/officeart/2009/layout/CirclePictureHierarchy"/>
    <dgm:cxn modelId="{89BD7DD8-7445-45CC-AA6F-785116D96061}" type="presOf" srcId="{E9CF3F79-27DA-4A2B-960A-E13063784AEF}" destId="{425D039C-508D-4F33-AE33-1AFCA297724D}" srcOrd="0" destOrd="0" presId="urn:microsoft.com/office/officeart/2009/layout/CirclePictureHierarchy"/>
    <dgm:cxn modelId="{B0B78DD8-6850-4F5F-AC42-5D7352327680}" type="presOf" srcId="{6463D55F-C4D4-4471-9DDB-A55C6A9EC7F5}" destId="{B7CAAA78-ABC3-4811-8DF7-C92568C80A15}" srcOrd="0" destOrd="0" presId="urn:microsoft.com/office/officeart/2009/layout/CirclePictureHierarchy"/>
    <dgm:cxn modelId="{A00A71FE-E4B0-4EC4-8837-372A77E2501D}" type="presOf" srcId="{B1AF70F4-ACE1-49A0-9E17-C6F962098207}" destId="{31AC73A1-DFFF-4F33-98CA-E663C54CCDE3}" srcOrd="0" destOrd="0" presId="urn:microsoft.com/office/officeart/2009/layout/CirclePictureHierarchy"/>
    <dgm:cxn modelId="{9E74DE03-E316-442B-943A-28796946478E}" type="presParOf" srcId="{69D6AD0A-21E8-415B-8A2C-E5AC6AB011F4}" destId="{A0115EAB-8DA0-4A6A-9D1B-33533C0496B5}" srcOrd="0" destOrd="0" presId="urn:microsoft.com/office/officeart/2009/layout/CirclePictureHierarchy"/>
    <dgm:cxn modelId="{8F557B5B-644E-414F-A9BC-B5F8C9059717}" type="presParOf" srcId="{A0115EAB-8DA0-4A6A-9D1B-33533C0496B5}" destId="{3F108D28-72D2-4F5F-8486-55FCEEE35562}" srcOrd="0" destOrd="0" presId="urn:microsoft.com/office/officeart/2009/layout/CirclePictureHierarchy"/>
    <dgm:cxn modelId="{66C01C53-85AC-46EF-A2BA-94C6D49F34EC}" type="presParOf" srcId="{3F108D28-72D2-4F5F-8486-55FCEEE35562}" destId="{756C696D-1E55-46E8-874A-4AB02685EF58}" srcOrd="0" destOrd="0" presId="urn:microsoft.com/office/officeart/2009/layout/CirclePictureHierarchy"/>
    <dgm:cxn modelId="{64FB0EC1-E10D-4C27-B3E5-242D71371AA3}" type="presParOf" srcId="{3F108D28-72D2-4F5F-8486-55FCEEE35562}" destId="{64EAF088-DC33-430C-A897-39EFAC3AB44C}" srcOrd="1" destOrd="0" presId="urn:microsoft.com/office/officeart/2009/layout/CirclePictureHierarchy"/>
    <dgm:cxn modelId="{9BAD7399-1CEE-4672-AA05-E7C17AABE84D}" type="presParOf" srcId="{A0115EAB-8DA0-4A6A-9D1B-33533C0496B5}" destId="{10B08671-8C3F-4982-98BD-9CF8F16C3B02}" srcOrd="1" destOrd="0" presId="urn:microsoft.com/office/officeart/2009/layout/CirclePictureHierarchy"/>
    <dgm:cxn modelId="{1E1F61FE-9039-4448-B190-DE651A8CE15A}" type="presParOf" srcId="{10B08671-8C3F-4982-98BD-9CF8F16C3B02}" destId="{A5B7BDDF-0594-40B1-BA87-7DCEDE9BDC29}" srcOrd="0" destOrd="0" presId="urn:microsoft.com/office/officeart/2009/layout/CirclePictureHierarchy"/>
    <dgm:cxn modelId="{03D90310-360F-4407-AF58-B12ADC46D6AB}" type="presParOf" srcId="{10B08671-8C3F-4982-98BD-9CF8F16C3B02}" destId="{04447071-389E-453C-AEC1-11F4F1AFA947}" srcOrd="1" destOrd="0" presId="urn:microsoft.com/office/officeart/2009/layout/CirclePictureHierarchy"/>
    <dgm:cxn modelId="{B5521421-9198-4776-8C22-8F1C11D47E32}" type="presParOf" srcId="{04447071-389E-453C-AEC1-11F4F1AFA947}" destId="{00757FAC-026D-46A0-8518-4796798206C4}" srcOrd="0" destOrd="0" presId="urn:microsoft.com/office/officeart/2009/layout/CirclePictureHierarchy"/>
    <dgm:cxn modelId="{B6CBC13A-D550-4EA6-A0EF-E7C595D71B6F}" type="presParOf" srcId="{00757FAC-026D-46A0-8518-4796798206C4}" destId="{F31F489F-7415-48FB-AFD3-9F9CECBF39AD}" srcOrd="0" destOrd="0" presId="urn:microsoft.com/office/officeart/2009/layout/CirclePictureHierarchy"/>
    <dgm:cxn modelId="{9546D9C3-53DA-4DC4-8138-FC4CB028D59F}" type="presParOf" srcId="{00757FAC-026D-46A0-8518-4796798206C4}" destId="{30A1683C-D8CA-4535-98EF-9D130F451455}" srcOrd="1" destOrd="0" presId="urn:microsoft.com/office/officeart/2009/layout/CirclePictureHierarchy"/>
    <dgm:cxn modelId="{6F4C7670-4C98-4BC4-992A-A5F886C9034D}" type="presParOf" srcId="{04447071-389E-453C-AEC1-11F4F1AFA947}" destId="{B41255A2-20F4-4CEF-A428-D0FD7E07049D}" srcOrd="1" destOrd="0" presId="urn:microsoft.com/office/officeart/2009/layout/CirclePictureHierarchy"/>
    <dgm:cxn modelId="{8ED91647-362E-4890-9CA5-327555104C3A}" type="presParOf" srcId="{10B08671-8C3F-4982-98BD-9CF8F16C3B02}" destId="{31AC73A1-DFFF-4F33-98CA-E663C54CCDE3}" srcOrd="2" destOrd="0" presId="urn:microsoft.com/office/officeart/2009/layout/CirclePictureHierarchy"/>
    <dgm:cxn modelId="{471081C1-7269-4F0B-87AA-104B0B46CE04}" type="presParOf" srcId="{10B08671-8C3F-4982-98BD-9CF8F16C3B02}" destId="{A27C0673-4A5E-4980-9DE9-5D3E3061F7C9}" srcOrd="3" destOrd="0" presId="urn:microsoft.com/office/officeart/2009/layout/CirclePictureHierarchy"/>
    <dgm:cxn modelId="{E90E5255-F1FC-4FCD-B90F-55C5360E2865}" type="presParOf" srcId="{A27C0673-4A5E-4980-9DE9-5D3E3061F7C9}" destId="{68EFA1D7-CAB1-413E-9F11-5C3BB9B2C68B}" srcOrd="0" destOrd="0" presId="urn:microsoft.com/office/officeart/2009/layout/CirclePictureHierarchy"/>
    <dgm:cxn modelId="{CC8E0E50-BC6D-4675-91CA-94CE072CDF2B}" type="presParOf" srcId="{68EFA1D7-CAB1-413E-9F11-5C3BB9B2C68B}" destId="{D62CF203-E2B4-4CE8-964E-6F48DD23912D}" srcOrd="0" destOrd="0" presId="urn:microsoft.com/office/officeart/2009/layout/CirclePictureHierarchy"/>
    <dgm:cxn modelId="{84A41267-0135-4967-A45B-3977EA7E7556}" type="presParOf" srcId="{68EFA1D7-CAB1-413E-9F11-5C3BB9B2C68B}" destId="{3CE3413D-B8D8-4D27-A727-09BE5DA4453E}" srcOrd="1" destOrd="0" presId="urn:microsoft.com/office/officeart/2009/layout/CirclePictureHierarchy"/>
    <dgm:cxn modelId="{E192AF7D-C4B2-45F0-9C89-5D98BE79C0C5}" type="presParOf" srcId="{A27C0673-4A5E-4980-9DE9-5D3E3061F7C9}" destId="{7F44F398-8907-4E3C-8FFD-66A2494ABC8A}" srcOrd="1" destOrd="0" presId="urn:microsoft.com/office/officeart/2009/layout/CirclePictureHierarchy"/>
    <dgm:cxn modelId="{A0E2F2B3-E4F2-4625-A577-B7330C320E68}" type="presParOf" srcId="{7F44F398-8907-4E3C-8FFD-66A2494ABC8A}" destId="{25D94A77-8DC9-4954-B1AB-50B456F238A3}" srcOrd="0" destOrd="0" presId="urn:microsoft.com/office/officeart/2009/layout/CirclePictureHierarchy"/>
    <dgm:cxn modelId="{D5498AD7-EB8F-4EC4-B19A-504540DAEB61}" type="presParOf" srcId="{7F44F398-8907-4E3C-8FFD-66A2494ABC8A}" destId="{3D7E706D-3976-4CD2-B698-8C78EE24A667}" srcOrd="1" destOrd="0" presId="urn:microsoft.com/office/officeart/2009/layout/CirclePictureHierarchy"/>
    <dgm:cxn modelId="{F208E10F-5BD4-4473-94F4-D8BFADAB88EA}" type="presParOf" srcId="{3D7E706D-3976-4CD2-B698-8C78EE24A667}" destId="{B7C27A79-A95B-49DD-9479-EA20D49FF326}" srcOrd="0" destOrd="0" presId="urn:microsoft.com/office/officeart/2009/layout/CirclePictureHierarchy"/>
    <dgm:cxn modelId="{C4A75BEA-F689-48D8-B022-8BABC4D867C1}" type="presParOf" srcId="{B7C27A79-A95B-49DD-9479-EA20D49FF326}" destId="{36788B12-3FBF-4306-B69A-27344FB14E2A}" srcOrd="0" destOrd="0" presId="urn:microsoft.com/office/officeart/2009/layout/CirclePictureHierarchy"/>
    <dgm:cxn modelId="{2E9F2BC8-7840-4CBA-8854-C17D7BBD886B}" type="presParOf" srcId="{B7C27A79-A95B-49DD-9479-EA20D49FF326}" destId="{61439746-05C7-4B27-AA8F-7A96D8793EA7}" srcOrd="1" destOrd="0" presId="urn:microsoft.com/office/officeart/2009/layout/CirclePictureHierarchy"/>
    <dgm:cxn modelId="{EB9330DE-FD1B-48B2-B145-9DE85ADA4878}" type="presParOf" srcId="{3D7E706D-3976-4CD2-B698-8C78EE24A667}" destId="{D1348EC1-7C17-4617-812F-0E96AA62BBB9}" srcOrd="1" destOrd="0" presId="urn:microsoft.com/office/officeart/2009/layout/CirclePictureHierarchy"/>
    <dgm:cxn modelId="{210F1106-1634-410C-A722-BB37A87EA6F1}" type="presParOf" srcId="{D1348EC1-7C17-4617-812F-0E96AA62BBB9}" destId="{B7CAAA78-ABC3-4811-8DF7-C92568C80A15}" srcOrd="0" destOrd="0" presId="urn:microsoft.com/office/officeart/2009/layout/CirclePictureHierarchy"/>
    <dgm:cxn modelId="{16E4FD48-5738-4328-9371-B6AFDD995C29}" type="presParOf" srcId="{D1348EC1-7C17-4617-812F-0E96AA62BBB9}" destId="{E6D9730E-B90B-4070-B076-2EC9E061E8BA}" srcOrd="1" destOrd="0" presId="urn:microsoft.com/office/officeart/2009/layout/CirclePictureHierarchy"/>
    <dgm:cxn modelId="{E0A97C46-A6B5-46D1-9A1C-2F7DFFFAF971}" type="presParOf" srcId="{E6D9730E-B90B-4070-B076-2EC9E061E8BA}" destId="{4E4D980C-B742-44BE-B7E8-146AD626D282}" srcOrd="0" destOrd="0" presId="urn:microsoft.com/office/officeart/2009/layout/CirclePictureHierarchy"/>
    <dgm:cxn modelId="{1A9A9ADE-F575-41F1-A823-5124CD66551A}" type="presParOf" srcId="{4E4D980C-B742-44BE-B7E8-146AD626D282}" destId="{E94FB629-2989-4EC8-9D0E-C3B7A857615A}" srcOrd="0" destOrd="0" presId="urn:microsoft.com/office/officeart/2009/layout/CirclePictureHierarchy"/>
    <dgm:cxn modelId="{F8487898-ADD2-41A7-99E9-205487DFA886}" type="presParOf" srcId="{4E4D980C-B742-44BE-B7E8-146AD626D282}" destId="{BDD934CA-A3E8-4B8D-AA72-CC741D658AAE}" srcOrd="1" destOrd="0" presId="urn:microsoft.com/office/officeart/2009/layout/CirclePictureHierarchy"/>
    <dgm:cxn modelId="{D5CA8CFC-3B12-4DF1-B4FC-48C490DC8D1F}" type="presParOf" srcId="{E6D9730E-B90B-4070-B076-2EC9E061E8BA}" destId="{E4D4071C-5BC5-47B4-A779-CAF3EBE02EB1}" srcOrd="1" destOrd="0" presId="urn:microsoft.com/office/officeart/2009/layout/CirclePictureHierarchy"/>
    <dgm:cxn modelId="{706573B1-11F9-4318-B86C-2763154705CF}" type="presParOf" srcId="{D1348EC1-7C17-4617-812F-0E96AA62BBB9}" destId="{425D039C-508D-4F33-AE33-1AFCA297724D}" srcOrd="2" destOrd="0" presId="urn:microsoft.com/office/officeart/2009/layout/CirclePictureHierarchy"/>
    <dgm:cxn modelId="{38283696-AE0C-4173-AAD3-F880571DEA1D}" type="presParOf" srcId="{D1348EC1-7C17-4617-812F-0E96AA62BBB9}" destId="{173FF9AD-FEB4-4A1C-B728-6D2E21BA4BA0}" srcOrd="3" destOrd="0" presId="urn:microsoft.com/office/officeart/2009/layout/CirclePictureHierarchy"/>
    <dgm:cxn modelId="{08369973-A97F-457B-921E-7638A6E6D7DD}" type="presParOf" srcId="{173FF9AD-FEB4-4A1C-B728-6D2E21BA4BA0}" destId="{7596875D-3774-4ABF-A7D9-75A7662480B9}" srcOrd="0" destOrd="0" presId="urn:microsoft.com/office/officeart/2009/layout/CirclePictureHierarchy"/>
    <dgm:cxn modelId="{644D5537-08F3-4831-BD0A-B0B2A23E811C}" type="presParOf" srcId="{7596875D-3774-4ABF-A7D9-75A7662480B9}" destId="{DE8E6B84-C1B7-4F20-A3AE-2F91615E283E}" srcOrd="0" destOrd="0" presId="urn:microsoft.com/office/officeart/2009/layout/CirclePictureHierarchy"/>
    <dgm:cxn modelId="{7CAC83A5-1F7E-4DD6-AADC-D910C360FE73}" type="presParOf" srcId="{7596875D-3774-4ABF-A7D9-75A7662480B9}" destId="{1159D27B-F89A-417A-BCAC-97638C77FFBB}" srcOrd="1" destOrd="0" presId="urn:microsoft.com/office/officeart/2009/layout/CirclePictureHierarchy"/>
    <dgm:cxn modelId="{AEBDE9BF-6B17-4A1D-B2F1-981EB849352B}" type="presParOf" srcId="{173FF9AD-FEB4-4A1C-B728-6D2E21BA4BA0}" destId="{C6B333F7-657D-47B9-AC11-B253A197A395}" srcOrd="1" destOrd="0" presId="urn:microsoft.com/office/officeart/2009/layout/CirclePictureHierarchy"/>
    <dgm:cxn modelId="{9AB7ABAB-9424-41C2-A5A9-FCD31FD83174}" type="presParOf" srcId="{C6B333F7-657D-47B9-AC11-B253A197A395}" destId="{CA771F4B-51EB-4158-B218-6039759D8D72}" srcOrd="0" destOrd="0" presId="urn:microsoft.com/office/officeart/2009/layout/CirclePictureHierarchy"/>
    <dgm:cxn modelId="{9F8FAD63-3537-4FEF-ADEA-145D467C89DC}" type="presParOf" srcId="{C6B333F7-657D-47B9-AC11-B253A197A395}" destId="{46788994-B53A-4BEE-8F67-88C278FD895C}" srcOrd="1" destOrd="0" presId="urn:microsoft.com/office/officeart/2009/layout/CirclePictureHierarchy"/>
    <dgm:cxn modelId="{BA8FA163-119F-474B-9986-DA0936A1B72A}" type="presParOf" srcId="{46788994-B53A-4BEE-8F67-88C278FD895C}" destId="{C46E178C-1F88-4B29-8BCD-B2F77AC4BCB9}" srcOrd="0" destOrd="0" presId="urn:microsoft.com/office/officeart/2009/layout/CirclePictureHierarchy"/>
    <dgm:cxn modelId="{D3180208-4207-4E91-8C4B-A4E8DFED5856}" type="presParOf" srcId="{C46E178C-1F88-4B29-8BCD-B2F77AC4BCB9}" destId="{B91021C6-8E47-42AE-B044-D23EB0385BFD}" srcOrd="0" destOrd="0" presId="urn:microsoft.com/office/officeart/2009/layout/CirclePictureHierarchy"/>
    <dgm:cxn modelId="{28E57227-4BBD-44B5-A146-08E23DC6C07A}" type="presParOf" srcId="{C46E178C-1F88-4B29-8BCD-B2F77AC4BCB9}" destId="{4B187BC3-C453-403A-8FD5-FB5D491F8F4D}" srcOrd="1" destOrd="0" presId="urn:microsoft.com/office/officeart/2009/layout/CirclePictureHierarchy"/>
    <dgm:cxn modelId="{A5DEC8A9-029A-4116-8C74-396838244759}" type="presParOf" srcId="{46788994-B53A-4BEE-8F67-88C278FD895C}" destId="{98787773-88FF-447C-83CC-41EF4F5F2121}" srcOrd="1" destOrd="0" presId="urn:microsoft.com/office/officeart/2009/layout/CirclePictureHierarchy"/>
    <dgm:cxn modelId="{00DCE06C-8B4B-4B2F-B1D0-633CD06F590B}" type="presParOf" srcId="{98787773-88FF-447C-83CC-41EF4F5F2121}" destId="{176598DE-1621-401C-A133-0A22AFF1FD47}" srcOrd="0" destOrd="0" presId="urn:microsoft.com/office/officeart/2009/layout/CirclePictureHierarchy"/>
    <dgm:cxn modelId="{92435FD6-BBC3-4A24-899B-E53D2B212A9F}" type="presParOf" srcId="{98787773-88FF-447C-83CC-41EF4F5F2121}" destId="{D89DD7E1-A325-4E25-A850-EB5C6D2CEB89}" srcOrd="1" destOrd="0" presId="urn:microsoft.com/office/officeart/2009/layout/CirclePictureHierarchy"/>
    <dgm:cxn modelId="{C6939FCE-DE14-48F8-A21D-8A867B8D35A6}" type="presParOf" srcId="{D89DD7E1-A325-4E25-A850-EB5C6D2CEB89}" destId="{770CBBCB-39AF-409D-A063-13071130E08C}" srcOrd="0" destOrd="0" presId="urn:microsoft.com/office/officeart/2009/layout/CirclePictureHierarchy"/>
    <dgm:cxn modelId="{2782D186-EA52-4EAD-AA71-C2C4B3255EF0}" type="presParOf" srcId="{770CBBCB-39AF-409D-A063-13071130E08C}" destId="{C484966C-76E3-45B5-A311-DCDF946004EB}" srcOrd="0" destOrd="0" presId="urn:microsoft.com/office/officeart/2009/layout/CirclePictureHierarchy"/>
    <dgm:cxn modelId="{48D31639-1C1F-48C6-9D5A-A0BFEA89733E}" type="presParOf" srcId="{770CBBCB-39AF-409D-A063-13071130E08C}" destId="{F441D27C-8F96-4A15-9F9A-1F4FEB76CDA8}" srcOrd="1" destOrd="0" presId="urn:microsoft.com/office/officeart/2009/layout/CirclePictureHierarchy"/>
    <dgm:cxn modelId="{AB527F2E-B018-4059-8D6C-B4DB6E9060C0}" type="presParOf" srcId="{D89DD7E1-A325-4E25-A850-EB5C6D2CEB89}" destId="{5EC8C5BA-7796-42DC-A434-C4CE1026E495}" srcOrd="1" destOrd="0" presId="urn:microsoft.com/office/officeart/2009/layout/CirclePictureHierarchy"/>
    <dgm:cxn modelId="{EAB55672-9FC0-47FC-BB68-D6CF70DEE1FF}" type="presParOf" srcId="{5EC8C5BA-7796-42DC-A434-C4CE1026E495}" destId="{C15A3889-9171-42D4-8F68-C16770E32B84}" srcOrd="0" destOrd="0" presId="urn:microsoft.com/office/officeart/2009/layout/CirclePictureHierarchy"/>
    <dgm:cxn modelId="{1EF66678-2998-4437-B2DF-F5E2CB87241E}" type="presParOf" srcId="{5EC8C5BA-7796-42DC-A434-C4CE1026E495}" destId="{9C0D50E0-54C4-4DBE-AE04-F9F366DA439D}" srcOrd="1" destOrd="0" presId="urn:microsoft.com/office/officeart/2009/layout/CirclePictureHierarchy"/>
    <dgm:cxn modelId="{D7031339-3293-4577-85EE-BF33B1A0651A}" type="presParOf" srcId="{9C0D50E0-54C4-4DBE-AE04-F9F366DA439D}" destId="{1DC04CFA-EA21-45E5-99EF-13E93D061723}" srcOrd="0" destOrd="0" presId="urn:microsoft.com/office/officeart/2009/layout/CirclePictureHierarchy"/>
    <dgm:cxn modelId="{5B88ADA2-A343-421B-8F32-AA4BBC414B22}" type="presParOf" srcId="{1DC04CFA-EA21-45E5-99EF-13E93D061723}" destId="{B020B483-E715-4D25-8088-8A4079F74D6F}" srcOrd="0" destOrd="0" presId="urn:microsoft.com/office/officeart/2009/layout/CirclePictureHierarchy"/>
    <dgm:cxn modelId="{D0052810-0846-4F57-89D8-97559245F4FC}" type="presParOf" srcId="{1DC04CFA-EA21-45E5-99EF-13E93D061723}" destId="{2FC15F7B-2D49-479E-9F44-C9F6DDE60508}" srcOrd="1" destOrd="0" presId="urn:microsoft.com/office/officeart/2009/layout/CirclePictureHierarchy"/>
    <dgm:cxn modelId="{915565CC-EA12-4DF3-A870-91B02DA8D013}" type="presParOf" srcId="{9C0D50E0-54C4-4DBE-AE04-F9F366DA439D}" destId="{471CEB3C-C45B-4C3D-B81C-E67889D67EBE}" srcOrd="1" destOrd="0" presId="urn:microsoft.com/office/officeart/2009/layout/CirclePictureHierarchy"/>
    <dgm:cxn modelId="{ECCB7B65-5975-45ED-8CDE-26AC9A897905}" type="presParOf" srcId="{471CEB3C-C45B-4C3D-B81C-E67889D67EBE}" destId="{612C8BBC-9094-4BED-9D01-0491C3301088}" srcOrd="0" destOrd="0" presId="urn:microsoft.com/office/officeart/2009/layout/CirclePictureHierarchy"/>
    <dgm:cxn modelId="{D0EF795C-F37E-41E9-8D94-3E4C03197F16}" type="presParOf" srcId="{471CEB3C-C45B-4C3D-B81C-E67889D67EBE}" destId="{96FEB4B2-5759-4EAF-A505-19790F212C7A}" srcOrd="1" destOrd="0" presId="urn:microsoft.com/office/officeart/2009/layout/CirclePictureHierarchy"/>
    <dgm:cxn modelId="{612273CA-9858-4A3E-882E-37433DF79386}" type="presParOf" srcId="{96FEB4B2-5759-4EAF-A505-19790F212C7A}" destId="{A2A0DCE4-FCAA-47A4-8E04-566948FD4486}" srcOrd="0" destOrd="0" presId="urn:microsoft.com/office/officeart/2009/layout/CirclePictureHierarchy"/>
    <dgm:cxn modelId="{F4162962-87A1-4081-B81A-5822A817666B}" type="presParOf" srcId="{A2A0DCE4-FCAA-47A4-8E04-566948FD4486}" destId="{707CAA61-F921-43CE-B0D3-19C9738E161D}" srcOrd="0" destOrd="0" presId="urn:microsoft.com/office/officeart/2009/layout/CirclePictureHierarchy"/>
    <dgm:cxn modelId="{10E1C31E-731A-484B-A7C0-F59E613ADF78}" type="presParOf" srcId="{A2A0DCE4-FCAA-47A4-8E04-566948FD4486}" destId="{C1E6D319-1279-4278-938B-53B6D009C9A6}" srcOrd="1" destOrd="0" presId="urn:microsoft.com/office/officeart/2009/layout/CirclePictureHierarchy"/>
    <dgm:cxn modelId="{1AF0DB96-8D60-45E1-B297-C1A77B7E6180}" type="presParOf" srcId="{96FEB4B2-5759-4EAF-A505-19790F212C7A}" destId="{29593A3E-37BC-43FF-AC6F-E4302CCDC48B}" srcOrd="1" destOrd="0" presId="urn:microsoft.com/office/officeart/2009/layout/CirclePictureHierarchy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12C8BBC-9094-4BED-9D01-0491C3301088}">
      <dsp:nvSpPr>
        <dsp:cNvPr id="0" name=""/>
        <dsp:cNvSpPr/>
      </dsp:nvSpPr>
      <dsp:spPr>
        <a:xfrm>
          <a:off x="1771241" y="3072628"/>
          <a:ext cx="91440" cy="10773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0773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15A3889-9171-42D4-8F68-C16770E32B84}">
      <dsp:nvSpPr>
        <dsp:cNvPr id="0" name=""/>
        <dsp:cNvSpPr/>
      </dsp:nvSpPr>
      <dsp:spPr>
        <a:xfrm>
          <a:off x="1771241" y="2622877"/>
          <a:ext cx="91440" cy="10773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0773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6598DE-1621-401C-A133-0A22AFF1FD47}">
      <dsp:nvSpPr>
        <dsp:cNvPr id="0" name=""/>
        <dsp:cNvSpPr/>
      </dsp:nvSpPr>
      <dsp:spPr>
        <a:xfrm>
          <a:off x="1771241" y="2173125"/>
          <a:ext cx="91440" cy="10773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0773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A771F4B-51EB-4158-B218-6039759D8D72}">
      <dsp:nvSpPr>
        <dsp:cNvPr id="0" name=""/>
        <dsp:cNvSpPr/>
      </dsp:nvSpPr>
      <dsp:spPr>
        <a:xfrm>
          <a:off x="1771241" y="1723374"/>
          <a:ext cx="91440" cy="10773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0773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25D039C-508D-4F33-AE33-1AFCA297724D}">
      <dsp:nvSpPr>
        <dsp:cNvPr id="0" name=""/>
        <dsp:cNvSpPr/>
      </dsp:nvSpPr>
      <dsp:spPr>
        <a:xfrm>
          <a:off x="1346688" y="1273623"/>
          <a:ext cx="470272" cy="10773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4295"/>
              </a:lnTo>
              <a:lnTo>
                <a:pt x="470272" y="54295"/>
              </a:lnTo>
              <a:lnTo>
                <a:pt x="470272" y="10773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7CAAA78-ABC3-4811-8DF7-C92568C80A15}">
      <dsp:nvSpPr>
        <dsp:cNvPr id="0" name=""/>
        <dsp:cNvSpPr/>
      </dsp:nvSpPr>
      <dsp:spPr>
        <a:xfrm>
          <a:off x="876416" y="1273623"/>
          <a:ext cx="470272" cy="107735"/>
        </a:xfrm>
        <a:custGeom>
          <a:avLst/>
          <a:gdLst/>
          <a:ahLst/>
          <a:cxnLst/>
          <a:rect l="0" t="0" r="0" b="0"/>
          <a:pathLst>
            <a:path>
              <a:moveTo>
                <a:pt x="470272" y="0"/>
              </a:moveTo>
              <a:lnTo>
                <a:pt x="470272" y="54295"/>
              </a:lnTo>
              <a:lnTo>
                <a:pt x="0" y="54295"/>
              </a:lnTo>
              <a:lnTo>
                <a:pt x="0" y="10773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5D94A77-8DC9-4954-B1AB-50B456F238A3}">
      <dsp:nvSpPr>
        <dsp:cNvPr id="0" name=""/>
        <dsp:cNvSpPr/>
      </dsp:nvSpPr>
      <dsp:spPr>
        <a:xfrm>
          <a:off x="1300968" y="823871"/>
          <a:ext cx="91440" cy="10773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0773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1AC73A1-DFFF-4F33-98CA-E663C54CCDE3}">
      <dsp:nvSpPr>
        <dsp:cNvPr id="0" name=""/>
        <dsp:cNvSpPr/>
      </dsp:nvSpPr>
      <dsp:spPr>
        <a:xfrm>
          <a:off x="876416" y="374120"/>
          <a:ext cx="470272" cy="10773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4295"/>
              </a:lnTo>
              <a:lnTo>
                <a:pt x="470272" y="54295"/>
              </a:lnTo>
              <a:lnTo>
                <a:pt x="470272" y="107735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5B7BDDF-0594-40B1-BA87-7DCEDE9BDC29}">
      <dsp:nvSpPr>
        <dsp:cNvPr id="0" name=""/>
        <dsp:cNvSpPr/>
      </dsp:nvSpPr>
      <dsp:spPr>
        <a:xfrm>
          <a:off x="406144" y="374120"/>
          <a:ext cx="470272" cy="107735"/>
        </a:xfrm>
        <a:custGeom>
          <a:avLst/>
          <a:gdLst/>
          <a:ahLst/>
          <a:cxnLst/>
          <a:rect l="0" t="0" r="0" b="0"/>
          <a:pathLst>
            <a:path>
              <a:moveTo>
                <a:pt x="470272" y="0"/>
              </a:moveTo>
              <a:lnTo>
                <a:pt x="470272" y="54295"/>
              </a:lnTo>
              <a:lnTo>
                <a:pt x="0" y="54295"/>
              </a:lnTo>
              <a:lnTo>
                <a:pt x="0" y="107735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56C696D-1E55-46E8-874A-4AB02685EF58}">
      <dsp:nvSpPr>
        <dsp:cNvPr id="0" name=""/>
        <dsp:cNvSpPr/>
      </dsp:nvSpPr>
      <dsp:spPr>
        <a:xfrm>
          <a:off x="705408" y="32104"/>
          <a:ext cx="342016" cy="342016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4EAF088-DC33-430C-A897-39EFAC3AB44C}">
      <dsp:nvSpPr>
        <dsp:cNvPr id="0" name=""/>
        <dsp:cNvSpPr/>
      </dsp:nvSpPr>
      <dsp:spPr>
        <a:xfrm>
          <a:off x="1047424" y="31249"/>
          <a:ext cx="513024" cy="342016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l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PH" sz="800" kern="1200" dirty="0"/>
            <a:t>MANDATE</a:t>
          </a:r>
        </a:p>
      </dsp:txBody>
      <dsp:txXfrm>
        <a:off x="1047424" y="31249"/>
        <a:ext cx="513024" cy="342016"/>
      </dsp:txXfrm>
    </dsp:sp>
    <dsp:sp modelId="{F31F489F-7415-48FB-AFD3-9F9CECBF39AD}">
      <dsp:nvSpPr>
        <dsp:cNvPr id="0" name=""/>
        <dsp:cNvSpPr/>
      </dsp:nvSpPr>
      <dsp:spPr>
        <a:xfrm>
          <a:off x="235136" y="481855"/>
          <a:ext cx="342016" cy="342016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30A1683C-D8CA-4535-98EF-9D130F451455}">
      <dsp:nvSpPr>
        <dsp:cNvPr id="0" name=""/>
        <dsp:cNvSpPr/>
      </dsp:nvSpPr>
      <dsp:spPr>
        <a:xfrm>
          <a:off x="577152" y="481000"/>
          <a:ext cx="513024" cy="342016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l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PH" sz="800" kern="1200" dirty="0"/>
            <a:t>2-MA_1</a:t>
          </a:r>
        </a:p>
      </dsp:txBody>
      <dsp:txXfrm>
        <a:off x="577152" y="481000"/>
        <a:ext cx="513024" cy="342016"/>
      </dsp:txXfrm>
    </dsp:sp>
    <dsp:sp modelId="{D62CF203-E2B4-4CE8-964E-6F48DD23912D}">
      <dsp:nvSpPr>
        <dsp:cNvPr id="0" name=""/>
        <dsp:cNvSpPr/>
      </dsp:nvSpPr>
      <dsp:spPr>
        <a:xfrm>
          <a:off x="1175680" y="481855"/>
          <a:ext cx="342016" cy="342016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3CE3413D-B8D8-4D27-A727-09BE5DA4453E}">
      <dsp:nvSpPr>
        <dsp:cNvPr id="0" name=""/>
        <dsp:cNvSpPr/>
      </dsp:nvSpPr>
      <dsp:spPr>
        <a:xfrm>
          <a:off x="1517697" y="481000"/>
          <a:ext cx="513024" cy="342016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l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PH" sz="800" kern="1200" dirty="0"/>
            <a:t>2-MA_2</a:t>
          </a:r>
        </a:p>
      </dsp:txBody>
      <dsp:txXfrm>
        <a:off x="1517697" y="481000"/>
        <a:ext cx="513024" cy="342016"/>
      </dsp:txXfrm>
    </dsp:sp>
    <dsp:sp modelId="{36788B12-3FBF-4306-B69A-27344FB14E2A}">
      <dsp:nvSpPr>
        <dsp:cNvPr id="0" name=""/>
        <dsp:cNvSpPr/>
      </dsp:nvSpPr>
      <dsp:spPr>
        <a:xfrm>
          <a:off x="1175680" y="931606"/>
          <a:ext cx="342016" cy="342016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1439746-05C7-4B27-AA8F-7A96D8793EA7}">
      <dsp:nvSpPr>
        <dsp:cNvPr id="0" name=""/>
        <dsp:cNvSpPr/>
      </dsp:nvSpPr>
      <dsp:spPr>
        <a:xfrm>
          <a:off x="1517697" y="930751"/>
          <a:ext cx="513024" cy="342016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l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PH" sz="800" kern="1200" dirty="0"/>
            <a:t>3-Juan</a:t>
          </a:r>
        </a:p>
      </dsp:txBody>
      <dsp:txXfrm>
        <a:off x="1517697" y="930751"/>
        <a:ext cx="513024" cy="342016"/>
      </dsp:txXfrm>
    </dsp:sp>
    <dsp:sp modelId="{E94FB629-2989-4EC8-9D0E-C3B7A857615A}">
      <dsp:nvSpPr>
        <dsp:cNvPr id="0" name=""/>
        <dsp:cNvSpPr/>
      </dsp:nvSpPr>
      <dsp:spPr>
        <a:xfrm>
          <a:off x="705408" y="1381358"/>
          <a:ext cx="342016" cy="342016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BDD934CA-A3E8-4B8D-AA72-CC741D658AAE}">
      <dsp:nvSpPr>
        <dsp:cNvPr id="0" name=""/>
        <dsp:cNvSpPr/>
      </dsp:nvSpPr>
      <dsp:spPr>
        <a:xfrm>
          <a:off x="1047424" y="1380503"/>
          <a:ext cx="513024" cy="342016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l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PH" sz="800" kern="1200" dirty="0"/>
            <a:t>4-Jose</a:t>
          </a:r>
        </a:p>
      </dsp:txBody>
      <dsp:txXfrm>
        <a:off x="1047424" y="1380503"/>
        <a:ext cx="513024" cy="342016"/>
      </dsp:txXfrm>
    </dsp:sp>
    <dsp:sp modelId="{DE8E6B84-C1B7-4F20-A3AE-2F91615E283E}">
      <dsp:nvSpPr>
        <dsp:cNvPr id="0" name=""/>
        <dsp:cNvSpPr/>
      </dsp:nvSpPr>
      <dsp:spPr>
        <a:xfrm>
          <a:off x="1645953" y="1381358"/>
          <a:ext cx="342016" cy="342016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159D27B-F89A-417A-BCAC-97638C77FFBB}">
      <dsp:nvSpPr>
        <dsp:cNvPr id="0" name=""/>
        <dsp:cNvSpPr/>
      </dsp:nvSpPr>
      <dsp:spPr>
        <a:xfrm>
          <a:off x="1987969" y="1380503"/>
          <a:ext cx="513024" cy="342016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l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PH" sz="800" kern="1200" dirty="0"/>
            <a:t>4-Pedro</a:t>
          </a:r>
        </a:p>
      </dsp:txBody>
      <dsp:txXfrm>
        <a:off x="1987969" y="1380503"/>
        <a:ext cx="513024" cy="342016"/>
      </dsp:txXfrm>
    </dsp:sp>
    <dsp:sp modelId="{B91021C6-8E47-42AE-B044-D23EB0385BFD}">
      <dsp:nvSpPr>
        <dsp:cNvPr id="0" name=""/>
        <dsp:cNvSpPr/>
      </dsp:nvSpPr>
      <dsp:spPr>
        <a:xfrm>
          <a:off x="1645953" y="1831109"/>
          <a:ext cx="342016" cy="342016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B187BC3-C453-403A-8FD5-FB5D491F8F4D}">
      <dsp:nvSpPr>
        <dsp:cNvPr id="0" name=""/>
        <dsp:cNvSpPr/>
      </dsp:nvSpPr>
      <dsp:spPr>
        <a:xfrm>
          <a:off x="1987969" y="1830254"/>
          <a:ext cx="513024" cy="342016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l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PH" sz="800" kern="1200" dirty="0"/>
            <a:t>5-Philip</a:t>
          </a:r>
        </a:p>
      </dsp:txBody>
      <dsp:txXfrm>
        <a:off x="1987969" y="1830254"/>
        <a:ext cx="513024" cy="342016"/>
      </dsp:txXfrm>
    </dsp:sp>
    <dsp:sp modelId="{C484966C-76E3-45B5-A311-DCDF946004EB}">
      <dsp:nvSpPr>
        <dsp:cNvPr id="0" name=""/>
        <dsp:cNvSpPr/>
      </dsp:nvSpPr>
      <dsp:spPr>
        <a:xfrm>
          <a:off x="1645953" y="2280860"/>
          <a:ext cx="342016" cy="342016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441D27C-8F96-4A15-9F9A-1F4FEB76CDA8}">
      <dsp:nvSpPr>
        <dsp:cNvPr id="0" name=""/>
        <dsp:cNvSpPr/>
      </dsp:nvSpPr>
      <dsp:spPr>
        <a:xfrm>
          <a:off x="1987969" y="2280005"/>
          <a:ext cx="513024" cy="342016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l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PH" sz="800" kern="1200" dirty="0"/>
            <a:t>6-Marga</a:t>
          </a:r>
        </a:p>
      </dsp:txBody>
      <dsp:txXfrm>
        <a:off x="1987969" y="2280005"/>
        <a:ext cx="513024" cy="342016"/>
      </dsp:txXfrm>
    </dsp:sp>
    <dsp:sp modelId="{B020B483-E715-4D25-8088-8A4079F74D6F}">
      <dsp:nvSpPr>
        <dsp:cNvPr id="0" name=""/>
        <dsp:cNvSpPr/>
      </dsp:nvSpPr>
      <dsp:spPr>
        <a:xfrm>
          <a:off x="1645953" y="2730612"/>
          <a:ext cx="342016" cy="342016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2FC15F7B-2D49-479E-9F44-C9F6DDE60508}">
      <dsp:nvSpPr>
        <dsp:cNvPr id="0" name=""/>
        <dsp:cNvSpPr/>
      </dsp:nvSpPr>
      <dsp:spPr>
        <a:xfrm>
          <a:off x="1987969" y="2729757"/>
          <a:ext cx="513024" cy="342016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l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PH" sz="800" kern="1200" dirty="0"/>
            <a:t>7-Patrick</a:t>
          </a:r>
        </a:p>
      </dsp:txBody>
      <dsp:txXfrm>
        <a:off x="1987969" y="2729757"/>
        <a:ext cx="513024" cy="342016"/>
      </dsp:txXfrm>
    </dsp:sp>
    <dsp:sp modelId="{707CAA61-F921-43CE-B0D3-19C9738E161D}">
      <dsp:nvSpPr>
        <dsp:cNvPr id="0" name=""/>
        <dsp:cNvSpPr/>
      </dsp:nvSpPr>
      <dsp:spPr>
        <a:xfrm>
          <a:off x="1645953" y="3180363"/>
          <a:ext cx="342016" cy="342016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1E6D319-1279-4278-938B-53B6D009C9A6}">
      <dsp:nvSpPr>
        <dsp:cNvPr id="0" name=""/>
        <dsp:cNvSpPr/>
      </dsp:nvSpPr>
      <dsp:spPr>
        <a:xfrm>
          <a:off x="1987969" y="3179508"/>
          <a:ext cx="513024" cy="342016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l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PH" sz="800" kern="1200" dirty="0"/>
            <a:t>8-Mark</a:t>
          </a:r>
        </a:p>
      </dsp:txBody>
      <dsp:txXfrm>
        <a:off x="1987969" y="3179508"/>
        <a:ext cx="513024" cy="34201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9/layout/CirclePictureHierarchy">
  <dgm:title val=""/>
  <dgm:desc val=""/>
  <dgm:catLst>
    <dgm:cat type="hierarchy" pri="1750"/>
    <dgm:cat type="picture" pri="23000"/>
    <dgm:cat type="pictureconvert" pri="23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5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h" for="ch" forName="image" refType="h" fact="0.8"/>
              <dgm:constr type="w" for="ch" forName="image" refType="h" refFor="ch" refForName="image"/>
              <dgm:constr type="t" for="ch" forName="image" refType="h" fact="0.1"/>
              <dgm:constr type="l" for="ch" forName="image"/>
              <dgm:constr type="w" for="ch" forName="text" refType="w" fact="0.6"/>
              <dgm:constr type="h" for="ch" forName="text" refType="h" fact="0.8"/>
              <dgm:constr type="t" for="ch" forName="text" refType="w" fact="0.04"/>
              <dgm:constr type="l" for="ch" forName="text" refType="w" fact="0.4"/>
            </dgm:constrLst>
            <dgm:ruleLst/>
            <dgm:layoutNode name="image" styleLbl="node0">
              <dgm:alg type="sp"/>
              <dgm:shape xmlns:r="http://schemas.openxmlformats.org/officeDocument/2006/relationships" type="ellipse" r:blip="" blipPhldr="1">
                <dgm:adjLst/>
              </dgm:shape>
              <dgm:presOf/>
              <dgm:constrLst/>
              <dgm:ruleLst/>
            </dgm:layoutNode>
            <dgm:layoutNode name="text" styleLbl="revTx">
              <dgm:varLst>
                <dgm:chPref val="3"/>
              </dgm:varLst>
              <dgm:alg type="tx">
                <dgm:param type="parTxLTRAlign" val="l"/>
                <dgm:param type="parTxRTLAlign" val="r"/>
              </dgm:alg>
              <dgm:shape xmlns:r="http://schemas.openxmlformats.org/officeDocument/2006/relationships" type="rect" r:blip="">
                <dgm:adjLst/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image"/>
                    <dgm:param type="dstNode" val="image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h" for="ch" forName="image2" refType="h" fact="0.8"/>
                      <dgm:constr type="w" for="ch" forName="image2" refType="h" refFor="ch" refForName="image2"/>
                      <dgm:constr type="t" for="ch" forName="image2" refType="h" fact="0.1"/>
                      <dgm:constr type="l" for="ch" forName="image2"/>
                      <dgm:constr type="w" for="ch" forName="text2" refType="w" fact="0.6"/>
                      <dgm:constr type="h" for="ch" forName="text2" refType="h" fact="0.8"/>
                      <dgm:constr type="t" for="ch" forName="text2" refType="w" fact="0.04"/>
                      <dgm:constr type="l" for="ch" forName="text2" refType="w" fact="0.4"/>
                    </dgm:constrLst>
                    <dgm:ruleLst/>
                    <dgm:layoutNode name="image2">
                      <dgm:alg type="sp"/>
                      <dgm:shape xmlns:r="http://schemas.openxmlformats.org/officeDocument/2006/relationships" type="ellipse" r:blip="" blipPhldr="1">
                        <dgm:adjLst/>
                      </dgm:shape>
                      <dgm:presOf/>
                      <dgm:constrLst/>
                      <dgm:ruleLst/>
                    </dgm:layoutNode>
                    <dgm:layoutNode name="text2" styleLbl="revTx">
                      <dgm:varLst>
                        <dgm:chPref val="3"/>
                      </dgm:varLst>
                      <dgm:alg type="tx">
                        <dgm:param type="parTxLTRAlign" val="l"/>
                        <dgm:param type="parTxRTLAlign" val="r"/>
                      </dgm:alg>
                      <dgm:shape xmlns:r="http://schemas.openxmlformats.org/officeDocument/2006/relationships" type="rect" r:blip="">
                        <dgm:adjLst/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image2"/>
                            <dgm:param type="dstNode" val="image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h" for="ch" forName="image3" refType="h" fact="0.8"/>
                              <dgm:constr type="w" for="ch" forName="image3" refType="h" refFor="ch" refForName="image3"/>
                              <dgm:constr type="t" for="ch" forName="image3" refType="h" fact="0.1"/>
                              <dgm:constr type="l" for="ch" forName="image3"/>
                              <dgm:constr type="w" for="ch" forName="text3" refType="w" fact="0.6"/>
                              <dgm:constr type="h" for="ch" forName="text3" refType="h" fact="0.8"/>
                              <dgm:constr type="t" for="ch" forName="text3" refType="w" fact="0.04"/>
                              <dgm:constr type="l" for="ch" forName="text3" refType="w" fact="0.4"/>
                            </dgm:constrLst>
                            <dgm:ruleLst/>
                            <dgm:layoutNode name="image3">
                              <dgm:alg type="sp"/>
                              <dgm:shape xmlns:r="http://schemas.openxmlformats.org/officeDocument/2006/relationships" type="ellipse" r:blip="" blipPhldr="1">
                                <dgm:adjLst/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revTx">
                              <dgm:varLst>
                                <dgm:chPref val="3"/>
                              </dgm:varLst>
                              <dgm:alg type="tx">
                                <dgm:param type="parTxLTRAlign" val="l"/>
                                <dgm:param type="parTxRTLAlign" val="r"/>
                              </dgm:alg>
                              <dgm:shape xmlns:r="http://schemas.openxmlformats.org/officeDocument/2006/relationships" type="rect" r:blip="">
                                <dgm:adjLst/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image3"/>
                                        <dgm:param type="dstNode" val="image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image4"/>
                                        <dgm:param type="dstNode" val="image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h" for="ch" forName="image4" refType="h" fact="0.8"/>
                                      <dgm:constr type="w" for="ch" forName="image4" refType="h" refFor="ch" refForName="image4"/>
                                      <dgm:constr type="t" for="ch" forName="image4" refType="h" fact="0.1"/>
                                      <dgm:constr type="l" for="ch" forName="image4"/>
                                      <dgm:constr type="w" for="ch" forName="text4" refType="w" fact="0.6"/>
                                      <dgm:constr type="h" for="ch" forName="text4" refType="h" fact="0.8"/>
                                      <dgm:constr type="t" for="ch" forName="text4" refType="w" fact="0.04"/>
                                      <dgm:constr type="l" for="ch" forName="text4" refType="w" fact="0.4"/>
                                    </dgm:constrLst>
                                    <dgm:ruleLst/>
                                    <dgm:layoutNode name="image4">
                                      <dgm:alg type="sp"/>
                                      <dgm:shape xmlns:r="http://schemas.openxmlformats.org/officeDocument/2006/relationships" type="ellipse" r:blip="" blipPhldr="1">
                                        <dgm:adjLst/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revTx">
                                      <dgm:varLst>
                                        <dgm:chPref val="3"/>
                                      </dgm:varLst>
                                      <dgm:alg type="tx">
                                        <dgm:param type="parTxLTRAlign" val="l"/>
                                        <dgm:param type="parTxRTLAlign" val="r"/>
                                      </dgm:alg>
                                      <dgm:shape xmlns:r="http://schemas.openxmlformats.org/officeDocument/2006/relationships" type="rect" r:blip="">
                                        <dgm:adjLst/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1</xdr:row>
      <xdr:rowOff>64770</xdr:rowOff>
    </xdr:from>
    <xdr:to>
      <xdr:col>4</xdr:col>
      <xdr:colOff>398145</xdr:colOff>
      <xdr:row>20</xdr:row>
      <xdr:rowOff>83820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C46B04D-EC94-4306-9F7C-607DE0950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4F6D-3E1D-40A7-828C-28953969AF35}">
  <dimension ref="A1:J434"/>
  <sheetViews>
    <sheetView zoomScale="110" workbookViewId="0">
      <selection activeCell="D6" sqref="D6"/>
    </sheetView>
  </sheetViews>
  <sheetFormatPr defaultRowHeight="14.4" x14ac:dyDescent="0.3"/>
  <cols>
    <col min="1" max="1" width="10.77734375" customWidth="1"/>
    <col min="3" max="3" width="11" customWidth="1"/>
    <col min="4" max="4" width="17.33203125" customWidth="1"/>
    <col min="5" max="5" width="20.21875" customWidth="1"/>
    <col min="6" max="6" width="14.5546875" customWidth="1"/>
    <col min="7" max="7" width="7.44140625" customWidth="1"/>
    <col min="8" max="8" width="20.21875" customWidth="1"/>
    <col min="9" max="9" width="13.44140625" customWidth="1"/>
    <col min="10" max="10" width="11.109375" customWidth="1"/>
  </cols>
  <sheetData>
    <row r="1" spans="1:10" x14ac:dyDescent="0.3">
      <c r="A1" s="3" t="s">
        <v>57</v>
      </c>
      <c r="B1" s="3" t="s">
        <v>58</v>
      </c>
      <c r="C1" s="3" t="s">
        <v>59</v>
      </c>
      <c r="D1" s="3" t="s">
        <v>1</v>
      </c>
      <c r="E1" s="3" t="s">
        <v>0</v>
      </c>
      <c r="F1" s="3" t="s">
        <v>2</v>
      </c>
      <c r="G1" s="3" t="s">
        <v>89</v>
      </c>
      <c r="H1" s="3" t="s">
        <v>3</v>
      </c>
      <c r="I1" s="3" t="s">
        <v>61</v>
      </c>
      <c r="J1" s="3" t="s">
        <v>62</v>
      </c>
    </row>
    <row r="2" spans="1:10" x14ac:dyDescent="0.3">
      <c r="A2" s="2" t="s">
        <v>63</v>
      </c>
      <c r="B2">
        <v>1</v>
      </c>
      <c r="D2" t="s">
        <v>5</v>
      </c>
      <c r="E2" t="s">
        <v>4</v>
      </c>
      <c r="F2" t="s">
        <v>6</v>
      </c>
      <c r="J2" s="1" t="s">
        <v>94</v>
      </c>
    </row>
    <row r="3" spans="1:10" x14ac:dyDescent="0.3">
      <c r="A3" s="2" t="s">
        <v>64</v>
      </c>
      <c r="B3">
        <v>1</v>
      </c>
      <c r="D3" t="s">
        <v>5</v>
      </c>
      <c r="E3" t="s">
        <v>7</v>
      </c>
      <c r="F3" t="s">
        <v>8</v>
      </c>
      <c r="J3" s="1" t="s">
        <v>94</v>
      </c>
    </row>
    <row r="4" spans="1:10" x14ac:dyDescent="0.3">
      <c r="A4" s="2" t="s">
        <v>65</v>
      </c>
      <c r="B4">
        <v>1</v>
      </c>
      <c r="D4" t="s">
        <v>10</v>
      </c>
      <c r="E4" t="s">
        <v>9</v>
      </c>
      <c r="F4" t="s">
        <v>11</v>
      </c>
      <c r="J4" s="1" t="s">
        <v>94</v>
      </c>
    </row>
    <row r="5" spans="1:10" x14ac:dyDescent="0.3">
      <c r="A5" s="2" t="s">
        <v>66</v>
      </c>
      <c r="B5">
        <v>1</v>
      </c>
      <c r="D5" t="s">
        <v>10</v>
      </c>
      <c r="E5" t="s">
        <v>12</v>
      </c>
      <c r="F5" t="s">
        <v>13</v>
      </c>
      <c r="J5" s="1" t="s">
        <v>94</v>
      </c>
    </row>
    <row r="6" spans="1:10" x14ac:dyDescent="0.3">
      <c r="A6" s="2" t="s">
        <v>67</v>
      </c>
      <c r="B6">
        <v>1</v>
      </c>
      <c r="D6" t="s">
        <v>15</v>
      </c>
      <c r="E6" t="s">
        <v>14</v>
      </c>
      <c r="F6" t="s">
        <v>16</v>
      </c>
      <c r="J6" s="1" t="s">
        <v>94</v>
      </c>
    </row>
    <row r="7" spans="1:10" x14ac:dyDescent="0.3">
      <c r="A7" s="2" t="s">
        <v>68</v>
      </c>
      <c r="B7">
        <v>2</v>
      </c>
      <c r="C7" s="2" t="s">
        <v>63</v>
      </c>
      <c r="D7" t="s">
        <v>20</v>
      </c>
      <c r="E7" t="s">
        <v>19</v>
      </c>
      <c r="F7" t="s">
        <v>21</v>
      </c>
      <c r="J7" s="1" t="s">
        <v>95</v>
      </c>
    </row>
    <row r="8" spans="1:10" x14ac:dyDescent="0.3">
      <c r="A8" s="2" t="s">
        <v>69</v>
      </c>
      <c r="B8">
        <v>2</v>
      </c>
      <c r="C8" s="2" t="s">
        <v>66</v>
      </c>
      <c r="D8" t="s">
        <v>23</v>
      </c>
      <c r="E8" t="s">
        <v>22</v>
      </c>
      <c r="F8" t="s">
        <v>60</v>
      </c>
      <c r="J8" s="1" t="s">
        <v>95</v>
      </c>
    </row>
    <row r="9" spans="1:10" x14ac:dyDescent="0.3">
      <c r="A9" s="2" t="s">
        <v>70</v>
      </c>
      <c r="B9">
        <v>2</v>
      </c>
      <c r="C9" s="2" t="s">
        <v>63</v>
      </c>
      <c r="D9" t="s">
        <v>15</v>
      </c>
      <c r="E9" t="s">
        <v>24</v>
      </c>
      <c r="F9" t="s">
        <v>16</v>
      </c>
      <c r="J9" s="1" t="s">
        <v>95</v>
      </c>
    </row>
    <row r="10" spans="1:10" x14ac:dyDescent="0.3">
      <c r="A10" s="2" t="s">
        <v>71</v>
      </c>
      <c r="B10">
        <v>2</v>
      </c>
      <c r="C10" s="2" t="s">
        <v>66</v>
      </c>
      <c r="D10" t="s">
        <v>26</v>
      </c>
      <c r="E10" t="s">
        <v>25</v>
      </c>
      <c r="F10" t="s">
        <v>27</v>
      </c>
      <c r="J10" s="1" t="s">
        <v>95</v>
      </c>
    </row>
    <row r="11" spans="1:10" x14ac:dyDescent="0.3">
      <c r="A11" s="2" t="s">
        <v>72</v>
      </c>
      <c r="B11">
        <v>2</v>
      </c>
      <c r="C11" s="2" t="s">
        <v>65</v>
      </c>
      <c r="D11" t="s">
        <v>29</v>
      </c>
      <c r="E11" t="s">
        <v>28</v>
      </c>
      <c r="F11" t="s">
        <v>30</v>
      </c>
      <c r="J11" s="1" t="s">
        <v>95</v>
      </c>
    </row>
    <row r="12" spans="1:10" x14ac:dyDescent="0.3">
      <c r="A12" s="2" t="s">
        <v>73</v>
      </c>
      <c r="B12">
        <v>3</v>
      </c>
      <c r="C12" s="2" t="s">
        <v>69</v>
      </c>
      <c r="D12" t="s">
        <v>32</v>
      </c>
      <c r="E12" t="s">
        <v>31</v>
      </c>
      <c r="F12" t="s">
        <v>33</v>
      </c>
      <c r="J12" s="1" t="s">
        <v>96</v>
      </c>
    </row>
    <row r="13" spans="1:10" x14ac:dyDescent="0.3">
      <c r="A13" s="2" t="s">
        <v>74</v>
      </c>
      <c r="B13">
        <v>3</v>
      </c>
      <c r="C13" s="2" t="s">
        <v>72</v>
      </c>
      <c r="D13" t="s">
        <v>34</v>
      </c>
      <c r="E13" t="s">
        <v>88</v>
      </c>
      <c r="J13" s="1" t="s">
        <v>96</v>
      </c>
    </row>
    <row r="14" spans="1:10" x14ac:dyDescent="0.3">
      <c r="A14" s="2" t="s">
        <v>75</v>
      </c>
      <c r="B14">
        <v>3</v>
      </c>
      <c r="C14" s="2" t="s">
        <v>70</v>
      </c>
      <c r="D14" t="s">
        <v>36</v>
      </c>
      <c r="E14" t="s">
        <v>35</v>
      </c>
      <c r="J14" s="1" t="s">
        <v>96</v>
      </c>
    </row>
    <row r="15" spans="1:10" x14ac:dyDescent="0.3">
      <c r="A15" s="2" t="s">
        <v>76</v>
      </c>
      <c r="B15">
        <v>3</v>
      </c>
      <c r="C15" s="2" t="s">
        <v>72</v>
      </c>
      <c r="D15" t="s">
        <v>38</v>
      </c>
      <c r="E15" t="s">
        <v>37</v>
      </c>
      <c r="J15" s="1" t="s">
        <v>96</v>
      </c>
    </row>
    <row r="16" spans="1:10" x14ac:dyDescent="0.3">
      <c r="A16" s="2" t="s">
        <v>77</v>
      </c>
      <c r="B16">
        <v>3</v>
      </c>
      <c r="C16" s="2" t="s">
        <v>69</v>
      </c>
      <c r="D16" t="s">
        <v>40</v>
      </c>
      <c r="E16" t="s">
        <v>39</v>
      </c>
      <c r="J16" s="1" t="s">
        <v>96</v>
      </c>
    </row>
    <row r="17" spans="1:10" x14ac:dyDescent="0.3">
      <c r="A17" s="2" t="s">
        <v>78</v>
      </c>
      <c r="B17">
        <v>4</v>
      </c>
      <c r="C17" s="2" t="s">
        <v>64</v>
      </c>
      <c r="D17" t="s">
        <v>42</v>
      </c>
      <c r="E17" t="s">
        <v>41</v>
      </c>
      <c r="J17" s="1" t="s">
        <v>97</v>
      </c>
    </row>
    <row r="18" spans="1:10" x14ac:dyDescent="0.3">
      <c r="A18" s="2" t="s">
        <v>79</v>
      </c>
      <c r="B18">
        <v>4</v>
      </c>
      <c r="C18" s="2" t="s">
        <v>73</v>
      </c>
      <c r="D18" t="s">
        <v>43</v>
      </c>
      <c r="E18" t="s">
        <v>35</v>
      </c>
      <c r="J18" s="1" t="s">
        <v>97</v>
      </c>
    </row>
    <row r="19" spans="1:10" x14ac:dyDescent="0.3">
      <c r="A19" s="2" t="s">
        <v>80</v>
      </c>
      <c r="B19">
        <v>4</v>
      </c>
      <c r="C19" s="2" t="s">
        <v>75</v>
      </c>
      <c r="D19" t="s">
        <v>45</v>
      </c>
      <c r="E19" t="s">
        <v>44</v>
      </c>
      <c r="J19" s="1" t="s">
        <v>97</v>
      </c>
    </row>
    <row r="20" spans="1:10" x14ac:dyDescent="0.3">
      <c r="A20" s="2" t="s">
        <v>81</v>
      </c>
      <c r="B20">
        <v>4</v>
      </c>
      <c r="C20" s="2" t="s">
        <v>71</v>
      </c>
      <c r="D20" t="s">
        <v>47</v>
      </c>
      <c r="E20" t="s">
        <v>46</v>
      </c>
      <c r="J20" s="1" t="s">
        <v>97</v>
      </c>
    </row>
    <row r="21" spans="1:10" x14ac:dyDescent="0.3">
      <c r="A21" s="2" t="s">
        <v>82</v>
      </c>
      <c r="B21">
        <v>4</v>
      </c>
      <c r="C21" s="2" t="s">
        <v>68</v>
      </c>
      <c r="D21" t="s">
        <v>48</v>
      </c>
      <c r="E21" t="s">
        <v>91</v>
      </c>
      <c r="G21" t="s">
        <v>90</v>
      </c>
      <c r="J21" s="1" t="s">
        <v>97</v>
      </c>
    </row>
    <row r="22" spans="1:10" x14ac:dyDescent="0.3">
      <c r="A22" s="2" t="s">
        <v>83</v>
      </c>
      <c r="B22">
        <v>5</v>
      </c>
      <c r="C22" s="2" t="s">
        <v>80</v>
      </c>
      <c r="D22" t="s">
        <v>50</v>
      </c>
      <c r="E22" t="s">
        <v>49</v>
      </c>
      <c r="J22" s="1" t="s">
        <v>93</v>
      </c>
    </row>
    <row r="23" spans="1:10" x14ac:dyDescent="0.3">
      <c r="A23" s="2" t="s">
        <v>84</v>
      </c>
      <c r="B23">
        <v>5</v>
      </c>
      <c r="C23" s="2" t="s">
        <v>74</v>
      </c>
      <c r="D23" t="s">
        <v>52</v>
      </c>
      <c r="E23" t="s">
        <v>51</v>
      </c>
      <c r="J23" s="1" t="s">
        <v>93</v>
      </c>
    </row>
    <row r="24" spans="1:10" x14ac:dyDescent="0.3">
      <c r="A24" s="2" t="s">
        <v>85</v>
      </c>
      <c r="B24">
        <v>5</v>
      </c>
      <c r="C24" s="2" t="s">
        <v>82</v>
      </c>
      <c r="D24" t="s">
        <v>54</v>
      </c>
      <c r="E24" t="s">
        <v>53</v>
      </c>
      <c r="J24" s="1" t="s">
        <v>93</v>
      </c>
    </row>
    <row r="25" spans="1:10" x14ac:dyDescent="0.3">
      <c r="A25" s="2" t="s">
        <v>86</v>
      </c>
      <c r="B25">
        <v>5</v>
      </c>
      <c r="C25" s="2" t="s">
        <v>82</v>
      </c>
      <c r="D25" t="s">
        <v>18</v>
      </c>
      <c r="E25" t="s">
        <v>55</v>
      </c>
      <c r="J25" s="1" t="s">
        <v>93</v>
      </c>
    </row>
    <row r="26" spans="1:10" x14ac:dyDescent="0.3">
      <c r="A26" s="2" t="s">
        <v>87</v>
      </c>
      <c r="B26">
        <v>5</v>
      </c>
      <c r="C26" s="2" t="s">
        <v>78</v>
      </c>
      <c r="D26" t="s">
        <v>56</v>
      </c>
      <c r="E26" t="s">
        <v>17</v>
      </c>
      <c r="G26" t="s">
        <v>92</v>
      </c>
      <c r="J26" s="1" t="s">
        <v>93</v>
      </c>
    </row>
    <row r="295" spans="10:10" x14ac:dyDescent="0.3">
      <c r="J295" s="1"/>
    </row>
    <row r="323" spans="10:10" x14ac:dyDescent="0.3">
      <c r="J323" s="1"/>
    </row>
    <row r="324" spans="10:10" x14ac:dyDescent="0.3">
      <c r="J324" s="1"/>
    </row>
    <row r="325" spans="10:10" x14ac:dyDescent="0.3">
      <c r="J325" s="1"/>
    </row>
    <row r="326" spans="10:10" x14ac:dyDescent="0.3">
      <c r="J326" s="1"/>
    </row>
    <row r="327" spans="10:10" x14ac:dyDescent="0.3">
      <c r="J327" s="1"/>
    </row>
    <row r="328" spans="10:10" x14ac:dyDescent="0.3">
      <c r="J328" s="1"/>
    </row>
    <row r="329" spans="10:10" x14ac:dyDescent="0.3">
      <c r="J329" s="1"/>
    </row>
    <row r="330" spans="10:10" x14ac:dyDescent="0.3">
      <c r="J330" s="1"/>
    </row>
    <row r="331" spans="10:10" x14ac:dyDescent="0.3">
      <c r="J331" s="1"/>
    </row>
    <row r="335" spans="10:10" x14ac:dyDescent="0.3">
      <c r="J335" s="1"/>
    </row>
    <row r="336" spans="10:10" x14ac:dyDescent="0.3">
      <c r="J336" s="1"/>
    </row>
    <row r="337" spans="10:10" x14ac:dyDescent="0.3">
      <c r="J337" s="1"/>
    </row>
    <row r="338" spans="10:10" x14ac:dyDescent="0.3">
      <c r="J338" s="1"/>
    </row>
    <row r="339" spans="10:10" x14ac:dyDescent="0.3">
      <c r="J339" s="1"/>
    </row>
    <row r="340" spans="10:10" x14ac:dyDescent="0.3">
      <c r="J340" s="1"/>
    </row>
    <row r="341" spans="10:10" x14ac:dyDescent="0.3">
      <c r="J341" s="1"/>
    </row>
    <row r="342" spans="10:10" x14ac:dyDescent="0.3">
      <c r="J342" s="1"/>
    </row>
    <row r="343" spans="10:10" x14ac:dyDescent="0.3">
      <c r="J343" s="1"/>
    </row>
    <row r="344" spans="10:10" x14ac:dyDescent="0.3">
      <c r="J344" s="1"/>
    </row>
    <row r="345" spans="10:10" x14ac:dyDescent="0.3">
      <c r="J345" s="1"/>
    </row>
    <row r="346" spans="10:10" x14ac:dyDescent="0.3">
      <c r="J346" s="1"/>
    </row>
    <row r="347" spans="10:10" x14ac:dyDescent="0.3">
      <c r="J347" s="1"/>
    </row>
    <row r="348" spans="10:10" x14ac:dyDescent="0.3">
      <c r="J348" s="1"/>
    </row>
    <row r="349" spans="10:10" x14ac:dyDescent="0.3">
      <c r="J349" s="1"/>
    </row>
    <row r="350" spans="10:10" x14ac:dyDescent="0.3">
      <c r="J350" s="1"/>
    </row>
    <row r="351" spans="10:10" x14ac:dyDescent="0.3">
      <c r="J351" s="1"/>
    </row>
    <row r="352" spans="10:10" x14ac:dyDescent="0.3">
      <c r="J352" s="1"/>
    </row>
    <row r="354" spans="10:10" x14ac:dyDescent="0.3">
      <c r="J354" s="1"/>
    </row>
    <row r="355" spans="10:10" x14ac:dyDescent="0.3">
      <c r="J355" s="1"/>
    </row>
    <row r="356" spans="10:10" x14ac:dyDescent="0.3">
      <c r="J356" s="1"/>
    </row>
    <row r="357" spans="10:10" x14ac:dyDescent="0.3">
      <c r="J357" s="1"/>
    </row>
    <row r="358" spans="10:10" x14ac:dyDescent="0.3">
      <c r="J358" s="1"/>
    </row>
    <row r="359" spans="10:10" x14ac:dyDescent="0.3">
      <c r="J359" s="1"/>
    </row>
    <row r="360" spans="10:10" x14ac:dyDescent="0.3">
      <c r="J360" s="1"/>
    </row>
    <row r="361" spans="10:10" x14ac:dyDescent="0.3">
      <c r="J361" s="1"/>
    </row>
    <row r="362" spans="10:10" x14ac:dyDescent="0.3">
      <c r="J362" s="1"/>
    </row>
    <row r="363" spans="10:10" x14ac:dyDescent="0.3">
      <c r="J363" s="1"/>
    </row>
    <row r="364" spans="10:10" x14ac:dyDescent="0.3">
      <c r="J364" s="1"/>
    </row>
    <row r="365" spans="10:10" x14ac:dyDescent="0.3">
      <c r="J365" s="1"/>
    </row>
    <row r="366" spans="10:10" x14ac:dyDescent="0.3">
      <c r="J366" s="1"/>
    </row>
    <row r="367" spans="10:10" x14ac:dyDescent="0.3">
      <c r="J367" s="1"/>
    </row>
    <row r="368" spans="10:10" x14ac:dyDescent="0.3">
      <c r="J368" s="1"/>
    </row>
    <row r="369" spans="10:10" x14ac:dyDescent="0.3">
      <c r="J369" s="1"/>
    </row>
    <row r="370" spans="10:10" x14ac:dyDescent="0.3">
      <c r="J370" s="1"/>
    </row>
    <row r="371" spans="10:10" x14ac:dyDescent="0.3">
      <c r="J371" s="1"/>
    </row>
    <row r="372" spans="10:10" x14ac:dyDescent="0.3">
      <c r="J372" s="1"/>
    </row>
    <row r="373" spans="10:10" x14ac:dyDescent="0.3">
      <c r="J373" s="1"/>
    </row>
    <row r="374" spans="10:10" x14ac:dyDescent="0.3">
      <c r="J374" s="1"/>
    </row>
    <row r="375" spans="10:10" x14ac:dyDescent="0.3">
      <c r="J375" s="1"/>
    </row>
    <row r="377" spans="10:10" x14ac:dyDescent="0.3">
      <c r="J377" s="1"/>
    </row>
    <row r="379" spans="10:10" x14ac:dyDescent="0.3">
      <c r="J379" s="1"/>
    </row>
    <row r="380" spans="10:10" x14ac:dyDescent="0.3">
      <c r="J380" s="1"/>
    </row>
    <row r="381" spans="10:10" x14ac:dyDescent="0.3">
      <c r="J381" s="1"/>
    </row>
    <row r="382" spans="10:10" x14ac:dyDescent="0.3">
      <c r="J382" s="1"/>
    </row>
    <row r="383" spans="10:10" x14ac:dyDescent="0.3">
      <c r="J383" s="1"/>
    </row>
    <row r="384" spans="10:10" x14ac:dyDescent="0.3">
      <c r="J384" s="1"/>
    </row>
    <row r="385" spans="10:10" x14ac:dyDescent="0.3">
      <c r="J385" s="1"/>
    </row>
    <row r="386" spans="10:10" x14ac:dyDescent="0.3">
      <c r="J386" s="1"/>
    </row>
    <row r="387" spans="10:10" x14ac:dyDescent="0.3">
      <c r="J387" s="1"/>
    </row>
    <row r="388" spans="10:10" x14ac:dyDescent="0.3">
      <c r="J388" s="1"/>
    </row>
    <row r="389" spans="10:10" x14ac:dyDescent="0.3">
      <c r="J389" s="1"/>
    </row>
    <row r="391" spans="10:10" x14ac:dyDescent="0.3">
      <c r="J391" s="1"/>
    </row>
    <row r="392" spans="10:10" x14ac:dyDescent="0.3">
      <c r="J392" s="1"/>
    </row>
    <row r="393" spans="10:10" x14ac:dyDescent="0.3">
      <c r="J393" s="1"/>
    </row>
    <row r="395" spans="10:10" x14ac:dyDescent="0.3">
      <c r="J395" s="1"/>
    </row>
    <row r="396" spans="10:10" x14ac:dyDescent="0.3">
      <c r="J396" s="1"/>
    </row>
    <row r="397" spans="10:10" x14ac:dyDescent="0.3">
      <c r="J397" s="1"/>
    </row>
    <row r="398" spans="10:10" x14ac:dyDescent="0.3">
      <c r="J398" s="1"/>
    </row>
    <row r="399" spans="10:10" x14ac:dyDescent="0.3">
      <c r="J399" s="1"/>
    </row>
    <row r="400" spans="10:10" x14ac:dyDescent="0.3">
      <c r="J400" s="1"/>
    </row>
    <row r="401" spans="10:10" x14ac:dyDescent="0.3">
      <c r="J401" s="1"/>
    </row>
    <row r="402" spans="10:10" x14ac:dyDescent="0.3">
      <c r="J402" s="1"/>
    </row>
    <row r="403" spans="10:10" x14ac:dyDescent="0.3">
      <c r="J403" s="1"/>
    </row>
    <row r="404" spans="10:10" x14ac:dyDescent="0.3">
      <c r="J404" s="1"/>
    </row>
    <row r="405" spans="10:10" x14ac:dyDescent="0.3">
      <c r="J405" s="1"/>
    </row>
    <row r="406" spans="10:10" x14ac:dyDescent="0.3">
      <c r="J406" s="1"/>
    </row>
    <row r="407" spans="10:10" x14ac:dyDescent="0.3">
      <c r="J407" s="1"/>
    </row>
    <row r="408" spans="10:10" x14ac:dyDescent="0.3">
      <c r="J408" s="1"/>
    </row>
    <row r="409" spans="10:10" x14ac:dyDescent="0.3">
      <c r="J409" s="1"/>
    </row>
    <row r="411" spans="10:10" x14ac:dyDescent="0.3">
      <c r="J411" s="1"/>
    </row>
    <row r="412" spans="10:10" x14ac:dyDescent="0.3">
      <c r="J412" s="1"/>
    </row>
    <row r="413" spans="10:10" x14ac:dyDescent="0.3">
      <c r="J413" s="1"/>
    </row>
    <row r="414" spans="10:10" x14ac:dyDescent="0.3">
      <c r="J414" s="1"/>
    </row>
    <row r="415" spans="10:10" x14ac:dyDescent="0.3">
      <c r="J415" s="1"/>
    </row>
    <row r="416" spans="10:10" x14ac:dyDescent="0.3">
      <c r="J416" s="1"/>
    </row>
    <row r="417" spans="10:10" x14ac:dyDescent="0.3">
      <c r="J417" s="1"/>
    </row>
    <row r="418" spans="10:10" x14ac:dyDescent="0.3">
      <c r="J418" s="1"/>
    </row>
    <row r="419" spans="10:10" x14ac:dyDescent="0.3">
      <c r="J419" s="1"/>
    </row>
    <row r="420" spans="10:10" x14ac:dyDescent="0.3">
      <c r="J420" s="1"/>
    </row>
    <row r="421" spans="10:10" x14ac:dyDescent="0.3">
      <c r="J421" s="1"/>
    </row>
    <row r="422" spans="10:10" x14ac:dyDescent="0.3">
      <c r="J422" s="1"/>
    </row>
    <row r="423" spans="10:10" x14ac:dyDescent="0.3">
      <c r="J423" s="1"/>
    </row>
    <row r="424" spans="10:10" x14ac:dyDescent="0.3">
      <c r="J424" s="1"/>
    </row>
    <row r="425" spans="10:10" x14ac:dyDescent="0.3">
      <c r="J425" s="1"/>
    </row>
    <row r="426" spans="10:10" x14ac:dyDescent="0.3">
      <c r="J426" s="1"/>
    </row>
    <row r="427" spans="10:10" x14ac:dyDescent="0.3">
      <c r="J427" s="1"/>
    </row>
    <row r="428" spans="10:10" x14ac:dyDescent="0.3">
      <c r="J428" s="1"/>
    </row>
    <row r="429" spans="10:10" x14ac:dyDescent="0.3">
      <c r="J429" s="1"/>
    </row>
    <row r="430" spans="10:10" x14ac:dyDescent="0.3">
      <c r="J430" s="1"/>
    </row>
    <row r="431" spans="10:10" x14ac:dyDescent="0.3">
      <c r="J431" s="1"/>
    </row>
    <row r="432" spans="10:10" x14ac:dyDescent="0.3">
      <c r="J432" s="1"/>
    </row>
    <row r="433" spans="10:10" x14ac:dyDescent="0.3">
      <c r="J433" s="1"/>
    </row>
    <row r="434" spans="10:10" x14ac:dyDescent="0.3">
      <c r="J434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5012-9539-466A-9956-4699754E962E}">
  <dimension ref="A1:H434"/>
  <sheetViews>
    <sheetView zoomScale="110" workbookViewId="0">
      <selection activeCell="B9" sqref="B9"/>
    </sheetView>
  </sheetViews>
  <sheetFormatPr defaultRowHeight="14.4" x14ac:dyDescent="0.3"/>
  <cols>
    <col min="1" max="1" width="10.77734375" customWidth="1"/>
    <col min="3" max="3" width="19.109375" customWidth="1"/>
    <col min="4" max="5" width="18.21875" customWidth="1"/>
    <col min="6" max="6" width="20.21875" customWidth="1"/>
    <col min="7" max="7" width="14.5546875" customWidth="1"/>
    <col min="8" max="8" width="11.109375" customWidth="1"/>
  </cols>
  <sheetData>
    <row r="1" spans="1:8" x14ac:dyDescent="0.3">
      <c r="A1" s="3" t="s">
        <v>98</v>
      </c>
      <c r="B1" s="3" t="s">
        <v>58</v>
      </c>
      <c r="C1" s="3" t="s">
        <v>102</v>
      </c>
      <c r="D1" s="3" t="s">
        <v>99</v>
      </c>
      <c r="E1" s="3" t="s">
        <v>106</v>
      </c>
      <c r="F1" s="3" t="s">
        <v>101</v>
      </c>
      <c r="G1" s="3" t="s">
        <v>104</v>
      </c>
      <c r="H1" s="3" t="s">
        <v>62</v>
      </c>
    </row>
    <row r="2" spans="1:8" x14ac:dyDescent="0.3">
      <c r="A2" s="2" t="s">
        <v>63</v>
      </c>
      <c r="B2">
        <v>1</v>
      </c>
      <c r="C2">
        <v>1001</v>
      </c>
      <c r="D2" t="s">
        <v>100</v>
      </c>
      <c r="F2" t="s">
        <v>103</v>
      </c>
      <c r="G2" s="2" t="s">
        <v>105</v>
      </c>
      <c r="H2" s="1" t="s">
        <v>107</v>
      </c>
    </row>
    <row r="3" spans="1:8" x14ac:dyDescent="0.3">
      <c r="A3" s="2"/>
      <c r="H3" s="1"/>
    </row>
    <row r="4" spans="1:8" x14ac:dyDescent="0.3">
      <c r="A4" s="2"/>
      <c r="H4" s="1"/>
    </row>
    <row r="5" spans="1:8" x14ac:dyDescent="0.3">
      <c r="A5" s="2"/>
      <c r="H5" s="1"/>
    </row>
    <row r="6" spans="1:8" x14ac:dyDescent="0.3">
      <c r="A6" s="2"/>
      <c r="H6" s="1"/>
    </row>
    <row r="7" spans="1:8" x14ac:dyDescent="0.3">
      <c r="A7" s="2"/>
      <c r="C7" s="2"/>
      <c r="H7" s="1"/>
    </row>
    <row r="8" spans="1:8" x14ac:dyDescent="0.3">
      <c r="A8" s="2"/>
      <c r="C8" s="2"/>
      <c r="H8" s="1"/>
    </row>
    <row r="9" spans="1:8" x14ac:dyDescent="0.3">
      <c r="A9" s="2"/>
      <c r="C9" s="2"/>
      <c r="H9" s="1"/>
    </row>
    <row r="10" spans="1:8" x14ac:dyDescent="0.3">
      <c r="A10" s="2"/>
      <c r="C10" s="2"/>
      <c r="H10" s="1"/>
    </row>
    <row r="11" spans="1:8" x14ac:dyDescent="0.3">
      <c r="A11" s="2"/>
      <c r="C11" s="2"/>
      <c r="H11" s="1"/>
    </row>
    <row r="12" spans="1:8" x14ac:dyDescent="0.3">
      <c r="A12" s="2"/>
      <c r="C12" s="2"/>
      <c r="H12" s="1"/>
    </row>
    <row r="13" spans="1:8" x14ac:dyDescent="0.3">
      <c r="A13" s="2"/>
      <c r="C13" s="2"/>
      <c r="H13" s="1"/>
    </row>
    <row r="14" spans="1:8" x14ac:dyDescent="0.3">
      <c r="A14" s="2"/>
      <c r="C14" s="2"/>
      <c r="H14" s="1"/>
    </row>
    <row r="15" spans="1:8" x14ac:dyDescent="0.3">
      <c r="A15" s="2"/>
      <c r="C15" s="2"/>
      <c r="H15" s="1"/>
    </row>
    <row r="16" spans="1:8" x14ac:dyDescent="0.3">
      <c r="A16" s="2"/>
      <c r="C16" s="2"/>
      <c r="H16" s="1"/>
    </row>
    <row r="17" spans="1:8" x14ac:dyDescent="0.3">
      <c r="A17" s="2"/>
      <c r="C17" s="2"/>
      <c r="H17" s="1"/>
    </row>
    <row r="18" spans="1:8" x14ac:dyDescent="0.3">
      <c r="A18" s="2"/>
      <c r="C18" s="2"/>
      <c r="H18" s="1"/>
    </row>
    <row r="19" spans="1:8" x14ac:dyDescent="0.3">
      <c r="A19" s="2"/>
      <c r="C19" s="2"/>
      <c r="H19" s="1"/>
    </row>
    <row r="20" spans="1:8" x14ac:dyDescent="0.3">
      <c r="A20" s="2"/>
      <c r="C20" s="2"/>
      <c r="H20" s="1"/>
    </row>
    <row r="21" spans="1:8" x14ac:dyDescent="0.3">
      <c r="A21" s="2"/>
      <c r="C21" s="2"/>
      <c r="H21" s="1"/>
    </row>
    <row r="22" spans="1:8" x14ac:dyDescent="0.3">
      <c r="A22" s="2"/>
      <c r="C22" s="2"/>
      <c r="H22" s="1"/>
    </row>
    <row r="23" spans="1:8" x14ac:dyDescent="0.3">
      <c r="A23" s="2"/>
      <c r="C23" s="2"/>
      <c r="H23" s="1"/>
    </row>
    <row r="24" spans="1:8" x14ac:dyDescent="0.3">
      <c r="A24" s="2"/>
      <c r="C24" s="2"/>
      <c r="H24" s="1"/>
    </row>
    <row r="25" spans="1:8" x14ac:dyDescent="0.3">
      <c r="A25" s="2"/>
      <c r="C25" s="2"/>
      <c r="H25" s="1"/>
    </row>
    <row r="26" spans="1:8" x14ac:dyDescent="0.3">
      <c r="A26" s="2"/>
      <c r="C26" s="2"/>
      <c r="H26" s="1"/>
    </row>
    <row r="295" spans="8:8" x14ac:dyDescent="0.3">
      <c r="H295" s="1"/>
    </row>
    <row r="323" spans="8:8" x14ac:dyDescent="0.3">
      <c r="H323" s="1"/>
    </row>
    <row r="324" spans="8:8" x14ac:dyDescent="0.3">
      <c r="H324" s="1"/>
    </row>
    <row r="325" spans="8:8" x14ac:dyDescent="0.3">
      <c r="H325" s="1"/>
    </row>
    <row r="326" spans="8:8" x14ac:dyDescent="0.3">
      <c r="H326" s="1"/>
    </row>
    <row r="327" spans="8:8" x14ac:dyDescent="0.3">
      <c r="H327" s="1"/>
    </row>
    <row r="328" spans="8:8" x14ac:dyDescent="0.3">
      <c r="H328" s="1"/>
    </row>
    <row r="329" spans="8:8" x14ac:dyDescent="0.3">
      <c r="H329" s="1"/>
    </row>
    <row r="330" spans="8:8" x14ac:dyDescent="0.3">
      <c r="H330" s="1"/>
    </row>
    <row r="331" spans="8:8" x14ac:dyDescent="0.3">
      <c r="H331" s="1"/>
    </row>
    <row r="335" spans="8:8" x14ac:dyDescent="0.3">
      <c r="H335" s="1"/>
    </row>
    <row r="336" spans="8:8" x14ac:dyDescent="0.3">
      <c r="H336" s="1"/>
    </row>
    <row r="337" spans="8:8" x14ac:dyDescent="0.3">
      <c r="H337" s="1"/>
    </row>
    <row r="338" spans="8:8" x14ac:dyDescent="0.3">
      <c r="H338" s="1"/>
    </row>
    <row r="339" spans="8:8" x14ac:dyDescent="0.3">
      <c r="H339" s="1"/>
    </row>
    <row r="340" spans="8:8" x14ac:dyDescent="0.3">
      <c r="H340" s="1"/>
    </row>
    <row r="341" spans="8:8" x14ac:dyDescent="0.3">
      <c r="H341" s="1"/>
    </row>
    <row r="342" spans="8:8" x14ac:dyDescent="0.3">
      <c r="H342" s="1"/>
    </row>
    <row r="343" spans="8:8" x14ac:dyDescent="0.3">
      <c r="H343" s="1"/>
    </row>
    <row r="344" spans="8:8" x14ac:dyDescent="0.3">
      <c r="H344" s="1"/>
    </row>
    <row r="345" spans="8:8" x14ac:dyDescent="0.3">
      <c r="H345" s="1"/>
    </row>
    <row r="346" spans="8:8" x14ac:dyDescent="0.3">
      <c r="H346" s="1"/>
    </row>
    <row r="347" spans="8:8" x14ac:dyDescent="0.3">
      <c r="H347" s="1"/>
    </row>
    <row r="348" spans="8:8" x14ac:dyDescent="0.3">
      <c r="H348" s="1"/>
    </row>
    <row r="349" spans="8:8" x14ac:dyDescent="0.3">
      <c r="H349" s="1"/>
    </row>
    <row r="350" spans="8:8" x14ac:dyDescent="0.3">
      <c r="H350" s="1"/>
    </row>
    <row r="351" spans="8:8" x14ac:dyDescent="0.3">
      <c r="H351" s="1"/>
    </row>
    <row r="352" spans="8:8" x14ac:dyDescent="0.3">
      <c r="H352" s="1"/>
    </row>
    <row r="354" spans="8:8" x14ac:dyDescent="0.3">
      <c r="H354" s="1"/>
    </row>
    <row r="355" spans="8:8" x14ac:dyDescent="0.3">
      <c r="H355" s="1"/>
    </row>
    <row r="356" spans="8:8" x14ac:dyDescent="0.3">
      <c r="H356" s="1"/>
    </row>
    <row r="357" spans="8:8" x14ac:dyDescent="0.3">
      <c r="H357" s="1"/>
    </row>
    <row r="358" spans="8:8" x14ac:dyDescent="0.3">
      <c r="H358" s="1"/>
    </row>
    <row r="359" spans="8:8" x14ac:dyDescent="0.3">
      <c r="H359" s="1"/>
    </row>
    <row r="360" spans="8:8" x14ac:dyDescent="0.3">
      <c r="H360" s="1"/>
    </row>
    <row r="361" spans="8:8" x14ac:dyDescent="0.3">
      <c r="H361" s="1"/>
    </row>
    <row r="362" spans="8:8" x14ac:dyDescent="0.3">
      <c r="H362" s="1"/>
    </row>
    <row r="363" spans="8:8" x14ac:dyDescent="0.3">
      <c r="H363" s="1"/>
    </row>
    <row r="364" spans="8:8" x14ac:dyDescent="0.3">
      <c r="H364" s="1"/>
    </row>
    <row r="365" spans="8:8" x14ac:dyDescent="0.3">
      <c r="H365" s="1"/>
    </row>
    <row r="366" spans="8:8" x14ac:dyDescent="0.3">
      <c r="H366" s="1"/>
    </row>
    <row r="367" spans="8:8" x14ac:dyDescent="0.3">
      <c r="H367" s="1"/>
    </row>
    <row r="368" spans="8:8" x14ac:dyDescent="0.3">
      <c r="H368" s="1"/>
    </row>
    <row r="369" spans="8:8" x14ac:dyDescent="0.3">
      <c r="H369" s="1"/>
    </row>
    <row r="370" spans="8:8" x14ac:dyDescent="0.3">
      <c r="H370" s="1"/>
    </row>
    <row r="371" spans="8:8" x14ac:dyDescent="0.3">
      <c r="H371" s="1"/>
    </row>
    <row r="372" spans="8:8" x14ac:dyDescent="0.3">
      <c r="H372" s="1"/>
    </row>
    <row r="373" spans="8:8" x14ac:dyDescent="0.3">
      <c r="H373" s="1"/>
    </row>
    <row r="374" spans="8:8" x14ac:dyDescent="0.3">
      <c r="H374" s="1"/>
    </row>
    <row r="375" spans="8:8" x14ac:dyDescent="0.3">
      <c r="H375" s="1"/>
    </row>
    <row r="377" spans="8:8" x14ac:dyDescent="0.3">
      <c r="H377" s="1"/>
    </row>
    <row r="379" spans="8:8" x14ac:dyDescent="0.3">
      <c r="H379" s="1"/>
    </row>
    <row r="380" spans="8:8" x14ac:dyDescent="0.3">
      <c r="H380" s="1"/>
    </row>
    <row r="381" spans="8:8" x14ac:dyDescent="0.3">
      <c r="H381" s="1"/>
    </row>
    <row r="382" spans="8:8" x14ac:dyDescent="0.3">
      <c r="H382" s="1"/>
    </row>
    <row r="383" spans="8:8" x14ac:dyDescent="0.3">
      <c r="H383" s="1"/>
    </row>
    <row r="384" spans="8:8" x14ac:dyDescent="0.3">
      <c r="H384" s="1"/>
    </row>
    <row r="385" spans="8:8" x14ac:dyDescent="0.3">
      <c r="H385" s="1"/>
    </row>
    <row r="386" spans="8:8" x14ac:dyDescent="0.3">
      <c r="H386" s="1"/>
    </row>
    <row r="387" spans="8:8" x14ac:dyDescent="0.3">
      <c r="H387" s="1"/>
    </row>
    <row r="388" spans="8:8" x14ac:dyDescent="0.3">
      <c r="H388" s="1"/>
    </row>
    <row r="389" spans="8:8" x14ac:dyDescent="0.3">
      <c r="H389" s="1"/>
    </row>
    <row r="391" spans="8:8" x14ac:dyDescent="0.3">
      <c r="H391" s="1"/>
    </row>
    <row r="392" spans="8:8" x14ac:dyDescent="0.3">
      <c r="H392" s="1"/>
    </row>
    <row r="393" spans="8:8" x14ac:dyDescent="0.3">
      <c r="H393" s="1"/>
    </row>
    <row r="395" spans="8:8" x14ac:dyDescent="0.3">
      <c r="H395" s="1"/>
    </row>
    <row r="396" spans="8:8" x14ac:dyDescent="0.3">
      <c r="H396" s="1"/>
    </row>
    <row r="397" spans="8:8" x14ac:dyDescent="0.3">
      <c r="H397" s="1"/>
    </row>
    <row r="398" spans="8:8" x14ac:dyDescent="0.3">
      <c r="H398" s="1"/>
    </row>
    <row r="399" spans="8:8" x14ac:dyDescent="0.3">
      <c r="H399" s="1"/>
    </row>
    <row r="400" spans="8:8" x14ac:dyDescent="0.3">
      <c r="H400" s="1"/>
    </row>
    <row r="401" spans="8:8" x14ac:dyDescent="0.3">
      <c r="H401" s="1"/>
    </row>
    <row r="402" spans="8:8" x14ac:dyDescent="0.3">
      <c r="H402" s="1"/>
    </row>
    <row r="403" spans="8:8" x14ac:dyDescent="0.3">
      <c r="H403" s="1"/>
    </row>
    <row r="404" spans="8:8" x14ac:dyDescent="0.3">
      <c r="H404" s="1"/>
    </row>
    <row r="405" spans="8:8" x14ac:dyDescent="0.3">
      <c r="H405" s="1"/>
    </row>
    <row r="406" spans="8:8" x14ac:dyDescent="0.3">
      <c r="H406" s="1"/>
    </row>
    <row r="407" spans="8:8" x14ac:dyDescent="0.3">
      <c r="H407" s="1"/>
    </row>
    <row r="408" spans="8:8" x14ac:dyDescent="0.3">
      <c r="H408" s="1"/>
    </row>
    <row r="409" spans="8:8" x14ac:dyDescent="0.3">
      <c r="H409" s="1"/>
    </row>
    <row r="411" spans="8:8" x14ac:dyDescent="0.3">
      <c r="H411" s="1"/>
    </row>
    <row r="412" spans="8:8" x14ac:dyDescent="0.3">
      <c r="H412" s="1"/>
    </row>
    <row r="413" spans="8:8" x14ac:dyDescent="0.3">
      <c r="H413" s="1"/>
    </row>
    <row r="414" spans="8:8" x14ac:dyDescent="0.3">
      <c r="H414" s="1"/>
    </row>
    <row r="415" spans="8:8" x14ac:dyDescent="0.3">
      <c r="H415" s="1"/>
    </row>
    <row r="416" spans="8:8" x14ac:dyDescent="0.3">
      <c r="H416" s="1"/>
    </row>
    <row r="417" spans="8:8" x14ac:dyDescent="0.3">
      <c r="H417" s="1"/>
    </row>
    <row r="418" spans="8:8" x14ac:dyDescent="0.3">
      <c r="H418" s="1"/>
    </row>
    <row r="419" spans="8:8" x14ac:dyDescent="0.3">
      <c r="H419" s="1"/>
    </row>
    <row r="420" spans="8:8" x14ac:dyDescent="0.3">
      <c r="H420" s="1"/>
    </row>
    <row r="421" spans="8:8" x14ac:dyDescent="0.3">
      <c r="H421" s="1"/>
    </row>
    <row r="422" spans="8:8" x14ac:dyDescent="0.3">
      <c r="H422" s="1"/>
    </row>
    <row r="423" spans="8:8" x14ac:dyDescent="0.3">
      <c r="H423" s="1"/>
    </row>
    <row r="424" spans="8:8" x14ac:dyDescent="0.3">
      <c r="H424" s="1"/>
    </row>
    <row r="425" spans="8:8" x14ac:dyDescent="0.3">
      <c r="H425" s="1"/>
    </row>
    <row r="426" spans="8:8" x14ac:dyDescent="0.3">
      <c r="H426" s="1"/>
    </row>
    <row r="427" spans="8:8" x14ac:dyDescent="0.3">
      <c r="H427" s="1"/>
    </row>
    <row r="428" spans="8:8" x14ac:dyDescent="0.3">
      <c r="H428" s="1"/>
    </row>
    <row r="429" spans="8:8" x14ac:dyDescent="0.3">
      <c r="H429" s="1"/>
    </row>
    <row r="430" spans="8:8" x14ac:dyDescent="0.3">
      <c r="H430" s="1"/>
    </row>
    <row r="431" spans="8:8" x14ac:dyDescent="0.3">
      <c r="H431" s="1"/>
    </row>
    <row r="432" spans="8:8" x14ac:dyDescent="0.3">
      <c r="H432" s="1"/>
    </row>
    <row r="433" spans="8:8" x14ac:dyDescent="0.3">
      <c r="H433" s="1"/>
    </row>
    <row r="434" spans="8:8" x14ac:dyDescent="0.3">
      <c r="H434" s="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E70B-20FD-40E0-8756-1A92B63BE391}">
  <dimension ref="F3:N30"/>
  <sheetViews>
    <sheetView showGridLines="0" zoomScale="83" workbookViewId="0">
      <selection activeCell="N32" sqref="N32"/>
    </sheetView>
  </sheetViews>
  <sheetFormatPr defaultRowHeight="14.4" x14ac:dyDescent="0.3"/>
  <cols>
    <col min="6" max="6" width="8.5546875" customWidth="1"/>
    <col min="7" max="7" width="3.77734375" customWidth="1"/>
    <col min="8" max="8" width="10.88671875" customWidth="1"/>
    <col min="9" max="9" width="14.88671875" bestFit="1" customWidth="1"/>
    <col min="12" max="12" width="3.77734375" customWidth="1"/>
    <col min="13" max="13" width="9.6640625" bestFit="1" customWidth="1"/>
    <col min="14" max="14" width="14.88671875" bestFit="1" customWidth="1"/>
  </cols>
  <sheetData>
    <row r="3" spans="6:14" x14ac:dyDescent="0.3">
      <c r="F3" t="s">
        <v>117</v>
      </c>
      <c r="I3" s="4" t="s">
        <v>109</v>
      </c>
      <c r="K3" t="s">
        <v>122</v>
      </c>
      <c r="N3" s="4" t="s">
        <v>109</v>
      </c>
    </row>
    <row r="4" spans="6:14" ht="15" thickBot="1" x14ac:dyDescent="0.35">
      <c r="F4" s="11" t="s">
        <v>118</v>
      </c>
      <c r="I4" s="5">
        <v>1000000</v>
      </c>
      <c r="K4" s="11" t="s">
        <v>119</v>
      </c>
      <c r="N4" s="5">
        <v>1000000</v>
      </c>
    </row>
    <row r="5" spans="6:14" ht="15" thickTop="1" x14ac:dyDescent="0.3"/>
    <row r="6" spans="6:14" x14ac:dyDescent="0.3">
      <c r="I6" s="4" t="s">
        <v>110</v>
      </c>
      <c r="N6" s="4" t="s">
        <v>110</v>
      </c>
    </row>
    <row r="7" spans="6:14" x14ac:dyDescent="0.3">
      <c r="I7" s="6">
        <f>I4*0.5</f>
        <v>500000</v>
      </c>
      <c r="N7" s="6">
        <f>N4*0.5</f>
        <v>500000</v>
      </c>
    </row>
    <row r="8" spans="6:14" x14ac:dyDescent="0.3">
      <c r="F8" s="8">
        <v>0.06</v>
      </c>
      <c r="G8" s="9">
        <v>1</v>
      </c>
      <c r="H8" s="10" t="s">
        <v>108</v>
      </c>
      <c r="I8" s="7">
        <f>I$7*F8</f>
        <v>30000</v>
      </c>
      <c r="K8" s="8">
        <v>0.06</v>
      </c>
      <c r="L8" s="9">
        <v>1</v>
      </c>
      <c r="M8" s="10" t="s">
        <v>108</v>
      </c>
      <c r="N8" s="7">
        <f>N$7*K8</f>
        <v>30000</v>
      </c>
    </row>
    <row r="9" spans="6:14" x14ac:dyDescent="0.3">
      <c r="F9" s="8">
        <v>0.06</v>
      </c>
      <c r="G9" s="9">
        <v>2</v>
      </c>
      <c r="H9" s="10" t="s">
        <v>111</v>
      </c>
      <c r="I9" s="7">
        <f t="shared" ref="I9:I14" si="0">I$7*F9</f>
        <v>30000</v>
      </c>
      <c r="K9" s="8">
        <v>0.06</v>
      </c>
      <c r="L9" s="9">
        <v>2</v>
      </c>
      <c r="M9" s="10" t="s">
        <v>112</v>
      </c>
      <c r="N9" s="7">
        <f t="shared" ref="N9:N14" si="1">N$7*K9</f>
        <v>30000</v>
      </c>
    </row>
    <row r="10" spans="6:14" x14ac:dyDescent="0.3">
      <c r="F10" s="8">
        <v>0.08</v>
      </c>
      <c r="G10" s="9">
        <v>3</v>
      </c>
      <c r="H10" s="10" t="s">
        <v>112</v>
      </c>
      <c r="I10" s="7">
        <f t="shared" si="0"/>
        <v>40000</v>
      </c>
      <c r="K10" s="8">
        <v>0.08</v>
      </c>
      <c r="L10" s="9">
        <v>3</v>
      </c>
      <c r="M10" s="10" t="s">
        <v>113</v>
      </c>
      <c r="N10" s="7">
        <f t="shared" si="1"/>
        <v>40000</v>
      </c>
    </row>
    <row r="11" spans="6:14" x14ac:dyDescent="0.3">
      <c r="F11" s="8">
        <v>0.08</v>
      </c>
      <c r="G11" s="9">
        <v>4</v>
      </c>
      <c r="H11" s="10" t="s">
        <v>113</v>
      </c>
      <c r="I11" s="7">
        <f t="shared" si="0"/>
        <v>40000</v>
      </c>
      <c r="K11" s="8">
        <v>0.08</v>
      </c>
      <c r="L11" s="9">
        <v>4</v>
      </c>
      <c r="M11" s="10" t="s">
        <v>114</v>
      </c>
      <c r="N11" s="7">
        <f t="shared" si="1"/>
        <v>40000</v>
      </c>
    </row>
    <row r="12" spans="6:14" x14ac:dyDescent="0.3">
      <c r="F12" s="8">
        <v>0.1</v>
      </c>
      <c r="G12" s="9">
        <v>5</v>
      </c>
      <c r="H12" s="10" t="s">
        <v>114</v>
      </c>
      <c r="I12" s="7">
        <f t="shared" si="0"/>
        <v>50000</v>
      </c>
      <c r="K12" s="8">
        <v>0.1</v>
      </c>
      <c r="L12" s="9">
        <v>5</v>
      </c>
      <c r="M12" s="10" t="s">
        <v>115</v>
      </c>
      <c r="N12" s="7">
        <f t="shared" si="1"/>
        <v>50000</v>
      </c>
    </row>
    <row r="13" spans="6:14" x14ac:dyDescent="0.3">
      <c r="F13" s="8">
        <v>0.12</v>
      </c>
      <c r="G13" s="9">
        <v>6</v>
      </c>
      <c r="H13" s="10" t="s">
        <v>115</v>
      </c>
      <c r="I13" s="7">
        <f t="shared" si="0"/>
        <v>60000</v>
      </c>
      <c r="K13" s="8">
        <v>0.12</v>
      </c>
      <c r="L13" s="9">
        <v>6</v>
      </c>
      <c r="M13" s="10" t="s">
        <v>116</v>
      </c>
      <c r="N13" s="7">
        <f t="shared" si="1"/>
        <v>60000</v>
      </c>
    </row>
    <row r="14" spans="6:14" x14ac:dyDescent="0.3">
      <c r="F14" s="8">
        <v>0.5</v>
      </c>
      <c r="G14" s="9">
        <v>7</v>
      </c>
      <c r="H14" s="10" t="s">
        <v>116</v>
      </c>
      <c r="I14" s="7">
        <f t="shared" si="0"/>
        <v>250000</v>
      </c>
      <c r="K14" s="8">
        <v>0.5</v>
      </c>
      <c r="L14" s="9">
        <v>7</v>
      </c>
      <c r="M14" s="10" t="s">
        <v>120</v>
      </c>
      <c r="N14" s="7">
        <f t="shared" si="1"/>
        <v>250000</v>
      </c>
    </row>
    <row r="15" spans="6:14" x14ac:dyDescent="0.3">
      <c r="K15" t="s">
        <v>121</v>
      </c>
    </row>
    <row r="16" spans="6:14" ht="15" thickBot="1" x14ac:dyDescent="0.35">
      <c r="F16" s="12"/>
      <c r="G16" s="12"/>
      <c r="H16" s="12"/>
      <c r="I16" s="12"/>
      <c r="J16" s="12"/>
      <c r="K16" s="12"/>
      <c r="L16" s="12"/>
      <c r="M16" s="12"/>
      <c r="N16" s="12"/>
    </row>
    <row r="18" spans="6:14" x14ac:dyDescent="0.3">
      <c r="F18" t="s">
        <v>123</v>
      </c>
      <c r="I18" s="4" t="s">
        <v>109</v>
      </c>
      <c r="N18" s="4"/>
    </row>
    <row r="19" spans="6:14" ht="15" thickBot="1" x14ac:dyDescent="0.35">
      <c r="F19" s="11" t="s">
        <v>124</v>
      </c>
      <c r="I19" s="5">
        <v>1000000</v>
      </c>
      <c r="K19" s="11"/>
      <c r="N19" s="5"/>
    </row>
    <row r="20" spans="6:14" ht="15" thickTop="1" x14ac:dyDescent="0.3"/>
    <row r="21" spans="6:14" x14ac:dyDescent="0.3">
      <c r="I21" s="4" t="s">
        <v>110</v>
      </c>
      <c r="N21" s="4"/>
    </row>
    <row r="22" spans="6:14" x14ac:dyDescent="0.3">
      <c r="I22" s="6">
        <f>I19*0.5</f>
        <v>500000</v>
      </c>
      <c r="N22" s="6"/>
    </row>
    <row r="23" spans="6:14" x14ac:dyDescent="0.3">
      <c r="F23" s="8">
        <v>0.1</v>
      </c>
      <c r="G23" s="9">
        <v>1</v>
      </c>
      <c r="H23" s="10" t="s">
        <v>108</v>
      </c>
      <c r="I23" s="7">
        <f>I$7*F23</f>
        <v>50000</v>
      </c>
      <c r="K23" s="8"/>
      <c r="L23" s="9"/>
      <c r="M23" s="10"/>
      <c r="N23" s="7"/>
    </row>
    <row r="24" spans="6:14" x14ac:dyDescent="0.3">
      <c r="F24" s="8">
        <v>0.12</v>
      </c>
      <c r="G24" s="9">
        <v>2</v>
      </c>
      <c r="H24" s="10" t="s">
        <v>111</v>
      </c>
      <c r="I24" s="7">
        <f t="shared" ref="I24:I29" si="2">I$7*F24</f>
        <v>60000</v>
      </c>
      <c r="K24" s="8"/>
      <c r="L24" s="9"/>
      <c r="M24" s="10"/>
      <c r="N24" s="7"/>
    </row>
    <row r="25" spans="6:14" x14ac:dyDescent="0.3">
      <c r="F25" s="8">
        <v>0.5</v>
      </c>
      <c r="G25" s="9">
        <v>3</v>
      </c>
      <c r="H25" s="10" t="s">
        <v>112</v>
      </c>
      <c r="I25" s="7">
        <f t="shared" si="2"/>
        <v>250000</v>
      </c>
      <c r="K25" s="8"/>
      <c r="L25" s="9"/>
      <c r="M25" s="10"/>
      <c r="N25" s="7"/>
    </row>
    <row r="26" spans="6:14" x14ac:dyDescent="0.3">
      <c r="F26" s="8"/>
      <c r="G26" s="9">
        <v>4</v>
      </c>
      <c r="H26" s="10" t="s">
        <v>113</v>
      </c>
      <c r="I26" s="7">
        <f t="shared" si="2"/>
        <v>0</v>
      </c>
      <c r="K26" s="8"/>
      <c r="L26" s="9"/>
      <c r="M26" s="10"/>
      <c r="N26" s="7"/>
    </row>
    <row r="27" spans="6:14" x14ac:dyDescent="0.3">
      <c r="F27" s="8"/>
      <c r="G27" s="9">
        <v>5</v>
      </c>
      <c r="H27" s="10" t="s">
        <v>114</v>
      </c>
      <c r="I27" s="7">
        <f t="shared" si="2"/>
        <v>0</v>
      </c>
      <c r="K27" s="8"/>
      <c r="L27" s="9"/>
      <c r="M27" s="10"/>
      <c r="N27" s="7"/>
    </row>
    <row r="28" spans="6:14" x14ac:dyDescent="0.3">
      <c r="F28" s="8"/>
      <c r="G28" s="9">
        <v>6</v>
      </c>
      <c r="H28" s="10" t="s">
        <v>115</v>
      </c>
      <c r="I28" s="7">
        <f t="shared" si="2"/>
        <v>0</v>
      </c>
      <c r="K28" s="8"/>
      <c r="L28" s="9"/>
      <c r="M28" s="10"/>
      <c r="N28" s="7"/>
    </row>
    <row r="29" spans="6:14" x14ac:dyDescent="0.3">
      <c r="F29" s="8"/>
      <c r="G29" s="9">
        <v>7</v>
      </c>
      <c r="H29" s="10" t="s">
        <v>116</v>
      </c>
      <c r="I29" s="7">
        <f t="shared" si="2"/>
        <v>0</v>
      </c>
      <c r="K29" s="8"/>
      <c r="L29" s="9"/>
      <c r="M29" s="10"/>
      <c r="N29" s="7"/>
    </row>
    <row r="30" spans="6:14" x14ac:dyDescent="0.3">
      <c r="F30" s="11" t="s">
        <v>148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D10C-6EAC-4FFB-8FDE-7B71A482AF9D}">
  <dimension ref="G2:R82"/>
  <sheetViews>
    <sheetView showGridLines="0" topLeftCell="F28" workbookViewId="0">
      <selection activeCell="S28" sqref="S28"/>
    </sheetView>
  </sheetViews>
  <sheetFormatPr defaultRowHeight="14.4" x14ac:dyDescent="0.3"/>
  <cols>
    <col min="2" max="2" width="4.21875" customWidth="1"/>
    <col min="3" max="3" width="3.33203125" customWidth="1"/>
    <col min="7" max="7" width="3.44140625" customWidth="1"/>
    <col min="8" max="8" width="3.88671875" customWidth="1"/>
    <col min="9" max="9" width="5.44140625" bestFit="1" customWidth="1"/>
    <col min="10" max="11" width="3.109375" customWidth="1"/>
    <col min="12" max="12" width="5" customWidth="1"/>
    <col min="13" max="13" width="5.44140625" customWidth="1"/>
    <col min="14" max="14" width="17.6640625" customWidth="1"/>
    <col min="15" max="15" width="12.44140625" customWidth="1"/>
    <col min="16" max="16" width="16.109375" customWidth="1"/>
    <col min="17" max="17" width="12.88671875" style="18" bestFit="1" customWidth="1"/>
    <col min="18" max="18" width="12.88671875" bestFit="1" customWidth="1"/>
  </cols>
  <sheetData>
    <row r="2" spans="7:16" x14ac:dyDescent="0.3">
      <c r="G2" s="16" t="s">
        <v>149</v>
      </c>
    </row>
    <row r="3" spans="7:16" x14ac:dyDescent="0.3">
      <c r="G3" s="16"/>
      <c r="H3">
        <v>1</v>
      </c>
      <c r="I3" s="11" t="s">
        <v>150</v>
      </c>
      <c r="N3" s="18">
        <v>1000000</v>
      </c>
    </row>
    <row r="4" spans="7:16" ht="15" thickBot="1" x14ac:dyDescent="0.35">
      <c r="G4" s="16"/>
      <c r="I4" s="32">
        <v>0.5</v>
      </c>
      <c r="J4" s="33" t="s">
        <v>151</v>
      </c>
      <c r="K4" s="33"/>
      <c r="L4" s="33"/>
      <c r="M4" s="33"/>
      <c r="N4" s="33"/>
      <c r="O4" s="34">
        <f>N3*I4</f>
        <v>500000</v>
      </c>
    </row>
    <row r="5" spans="7:16" x14ac:dyDescent="0.3">
      <c r="G5" s="16"/>
      <c r="J5" s="16" t="s">
        <v>174</v>
      </c>
    </row>
    <row r="6" spans="7:16" x14ac:dyDescent="0.3">
      <c r="G6" s="16"/>
      <c r="K6" t="s">
        <v>158</v>
      </c>
      <c r="L6" s="15">
        <v>0.05</v>
      </c>
      <c r="M6" s="11" t="s">
        <v>161</v>
      </c>
      <c r="O6" s="19">
        <f>O$4*L6</f>
        <v>25000</v>
      </c>
    </row>
    <row r="7" spans="7:16" x14ac:dyDescent="0.3">
      <c r="G7" s="16"/>
      <c r="L7" s="15"/>
      <c r="M7" s="11"/>
      <c r="O7" s="19"/>
    </row>
    <row r="8" spans="7:16" x14ac:dyDescent="0.3">
      <c r="G8" s="16"/>
      <c r="K8" s="22" t="s">
        <v>158</v>
      </c>
      <c r="L8" s="25">
        <v>0.12</v>
      </c>
      <c r="M8" s="26" t="s">
        <v>151</v>
      </c>
      <c r="N8" s="22"/>
      <c r="O8" s="27">
        <f t="shared" ref="O8:O28" si="0">O$4*L8</f>
        <v>60000</v>
      </c>
      <c r="P8" s="22"/>
    </row>
    <row r="9" spans="7:16" x14ac:dyDescent="0.3">
      <c r="G9" s="16"/>
      <c r="M9" s="14">
        <v>0.06</v>
      </c>
      <c r="N9" t="s">
        <v>138</v>
      </c>
      <c r="O9" s="19"/>
      <c r="P9" s="19">
        <f>O$8*M9</f>
        <v>3600</v>
      </c>
    </row>
    <row r="10" spans="7:16" x14ac:dyDescent="0.3">
      <c r="G10" s="16"/>
      <c r="M10" s="14">
        <v>0.06</v>
      </c>
      <c r="N10" t="s">
        <v>165</v>
      </c>
      <c r="O10" s="19"/>
      <c r="P10" s="19">
        <f t="shared" ref="P10:P15" si="1">O$8*M10</f>
        <v>3600</v>
      </c>
    </row>
    <row r="11" spans="7:16" x14ac:dyDescent="0.3">
      <c r="G11" s="16"/>
      <c r="M11" s="14">
        <v>0.08</v>
      </c>
      <c r="N11" t="s">
        <v>166</v>
      </c>
      <c r="O11" s="19"/>
      <c r="P11" s="19">
        <f t="shared" si="1"/>
        <v>4800</v>
      </c>
    </row>
    <row r="12" spans="7:16" x14ac:dyDescent="0.3">
      <c r="G12" s="16"/>
      <c r="M12" s="14">
        <v>0.08</v>
      </c>
      <c r="N12" t="s">
        <v>167</v>
      </c>
      <c r="O12" s="19"/>
      <c r="P12" s="19">
        <f t="shared" si="1"/>
        <v>4800</v>
      </c>
    </row>
    <row r="13" spans="7:16" x14ac:dyDescent="0.3">
      <c r="G13" s="16"/>
      <c r="M13" s="14">
        <v>0.1</v>
      </c>
      <c r="N13" t="s">
        <v>168</v>
      </c>
      <c r="O13" s="19"/>
      <c r="P13" s="19">
        <f t="shared" si="1"/>
        <v>6000</v>
      </c>
    </row>
    <row r="14" spans="7:16" x14ac:dyDescent="0.3">
      <c r="G14" s="16"/>
      <c r="M14" s="14">
        <v>0.12</v>
      </c>
      <c r="N14" t="s">
        <v>169</v>
      </c>
      <c r="O14" s="19"/>
      <c r="P14" s="19">
        <f t="shared" si="1"/>
        <v>7200</v>
      </c>
    </row>
    <row r="15" spans="7:16" x14ac:dyDescent="0.3">
      <c r="G15" s="16"/>
      <c r="M15" s="23">
        <v>0.5</v>
      </c>
      <c r="N15" s="22" t="s">
        <v>170</v>
      </c>
      <c r="O15" s="27"/>
      <c r="P15" s="27">
        <f t="shared" si="1"/>
        <v>30000</v>
      </c>
    </row>
    <row r="16" spans="7:16" x14ac:dyDescent="0.3">
      <c r="G16" s="16"/>
      <c r="M16" s="21"/>
      <c r="N16" s="20"/>
      <c r="O16" s="19"/>
    </row>
    <row r="17" spans="7:16" x14ac:dyDescent="0.3">
      <c r="G17" s="16"/>
      <c r="K17" s="22" t="s">
        <v>158</v>
      </c>
      <c r="L17" s="25">
        <v>0.08</v>
      </c>
      <c r="M17" s="26" t="s">
        <v>152</v>
      </c>
      <c r="N17" s="22"/>
      <c r="O17" s="27">
        <f t="shared" si="0"/>
        <v>40000</v>
      </c>
      <c r="P17" s="22"/>
    </row>
    <row r="18" spans="7:16" x14ac:dyDescent="0.3">
      <c r="G18" s="16"/>
      <c r="M18" s="14">
        <v>0.06</v>
      </c>
      <c r="N18" t="s">
        <v>138</v>
      </c>
      <c r="O18" s="19"/>
      <c r="P18" s="19">
        <f>O$17*M18</f>
        <v>2400</v>
      </c>
    </row>
    <row r="19" spans="7:16" x14ac:dyDescent="0.3">
      <c r="G19" s="16"/>
      <c r="M19" s="14">
        <v>0.06</v>
      </c>
      <c r="N19" t="s">
        <v>165</v>
      </c>
      <c r="O19" s="19"/>
      <c r="P19" s="19">
        <f t="shared" ref="P19:P24" si="2">O$17*M19</f>
        <v>2400</v>
      </c>
    </row>
    <row r="20" spans="7:16" x14ac:dyDescent="0.3">
      <c r="G20" s="16"/>
      <c r="M20" s="14">
        <v>0.08</v>
      </c>
      <c r="N20" t="s">
        <v>166</v>
      </c>
      <c r="O20" s="19"/>
      <c r="P20" s="19">
        <f t="shared" si="2"/>
        <v>3200</v>
      </c>
    </row>
    <row r="21" spans="7:16" x14ac:dyDescent="0.3">
      <c r="G21" s="16"/>
      <c r="M21" s="14">
        <v>0.08</v>
      </c>
      <c r="N21" t="s">
        <v>167</v>
      </c>
      <c r="O21" s="19"/>
      <c r="P21" s="19">
        <f t="shared" si="2"/>
        <v>3200</v>
      </c>
    </row>
    <row r="22" spans="7:16" x14ac:dyDescent="0.3">
      <c r="G22" s="16"/>
      <c r="M22" s="14">
        <v>0.1</v>
      </c>
      <c r="N22" t="s">
        <v>168</v>
      </c>
      <c r="O22" s="19"/>
      <c r="P22" s="19">
        <f t="shared" si="2"/>
        <v>4000</v>
      </c>
    </row>
    <row r="23" spans="7:16" x14ac:dyDescent="0.3">
      <c r="G23" s="16"/>
      <c r="M23" s="14">
        <v>0.12</v>
      </c>
      <c r="N23" t="s">
        <v>169</v>
      </c>
      <c r="O23" s="19"/>
      <c r="P23" s="19">
        <f t="shared" si="2"/>
        <v>4800</v>
      </c>
    </row>
    <row r="24" spans="7:16" x14ac:dyDescent="0.3">
      <c r="G24" s="16"/>
      <c r="M24" s="23">
        <v>0.5</v>
      </c>
      <c r="N24" s="22" t="s">
        <v>170</v>
      </c>
      <c r="O24" s="27"/>
      <c r="P24" s="27">
        <f t="shared" si="2"/>
        <v>20000</v>
      </c>
    </row>
    <row r="25" spans="7:16" x14ac:dyDescent="0.3">
      <c r="G25" s="16"/>
      <c r="M25" s="21"/>
      <c r="N25" s="20"/>
      <c r="O25" s="35"/>
      <c r="P25" s="35"/>
    </row>
    <row r="26" spans="7:16" x14ac:dyDescent="0.3">
      <c r="G26" s="16"/>
      <c r="K26" t="s">
        <v>158</v>
      </c>
      <c r="L26" s="15">
        <v>0.1</v>
      </c>
      <c r="M26" s="11" t="s">
        <v>162</v>
      </c>
      <c r="O26" s="19">
        <f t="shared" si="0"/>
        <v>50000</v>
      </c>
    </row>
    <row r="27" spans="7:16" x14ac:dyDescent="0.3">
      <c r="G27" s="16"/>
      <c r="L27" s="15"/>
      <c r="M27" s="11"/>
      <c r="O27" s="19"/>
    </row>
    <row r="28" spans="7:16" x14ac:dyDescent="0.3">
      <c r="G28" s="16"/>
      <c r="K28" s="20" t="s">
        <v>158</v>
      </c>
      <c r="L28" s="36">
        <v>0.65</v>
      </c>
      <c r="M28" s="37" t="s">
        <v>164</v>
      </c>
      <c r="N28" s="20"/>
      <c r="O28" s="35">
        <f t="shared" si="0"/>
        <v>325000</v>
      </c>
    </row>
    <row r="29" spans="7:16" x14ac:dyDescent="0.3">
      <c r="G29" s="16"/>
    </row>
    <row r="30" spans="7:16" x14ac:dyDescent="0.3">
      <c r="G30" s="16"/>
    </row>
    <row r="31" spans="7:16" x14ac:dyDescent="0.3">
      <c r="G31" s="16"/>
    </row>
    <row r="32" spans="7:16" x14ac:dyDescent="0.3">
      <c r="G32" s="16"/>
    </row>
    <row r="33" spans="7:18" x14ac:dyDescent="0.3">
      <c r="G33">
        <v>1</v>
      </c>
      <c r="H33" s="11" t="s">
        <v>150</v>
      </c>
    </row>
    <row r="34" spans="7:18" x14ac:dyDescent="0.3">
      <c r="I34" s="23">
        <v>0.5</v>
      </c>
      <c r="J34" s="22" t="s">
        <v>151</v>
      </c>
      <c r="K34" s="22"/>
      <c r="L34" s="22"/>
      <c r="M34" s="22" t="s">
        <v>159</v>
      </c>
      <c r="N34" s="22"/>
      <c r="O34" s="22"/>
      <c r="P34" s="22"/>
      <c r="Q34" s="24">
        <f>N$3*I34</f>
        <v>500000</v>
      </c>
      <c r="R34" s="22"/>
    </row>
    <row r="35" spans="7:18" x14ac:dyDescent="0.3">
      <c r="I35" s="14"/>
      <c r="M35" t="s">
        <v>158</v>
      </c>
      <c r="N35" s="14">
        <v>0.06</v>
      </c>
      <c r="O35" t="s">
        <v>138</v>
      </c>
      <c r="R35" s="19">
        <f>Q$34*N35</f>
        <v>30000</v>
      </c>
    </row>
    <row r="36" spans="7:18" x14ac:dyDescent="0.3">
      <c r="I36" s="14"/>
      <c r="M36" t="s">
        <v>158</v>
      </c>
      <c r="N36" s="14">
        <v>0.06</v>
      </c>
      <c r="O36" t="s">
        <v>165</v>
      </c>
      <c r="R36" s="19">
        <f t="shared" ref="R36:R41" si="3">Q$34*N36</f>
        <v>30000</v>
      </c>
    </row>
    <row r="37" spans="7:18" x14ac:dyDescent="0.3">
      <c r="I37" s="14"/>
      <c r="M37" t="s">
        <v>158</v>
      </c>
      <c r="N37" s="14">
        <v>0.08</v>
      </c>
      <c r="O37" t="s">
        <v>166</v>
      </c>
      <c r="R37" s="19">
        <f t="shared" si="3"/>
        <v>40000</v>
      </c>
    </row>
    <row r="38" spans="7:18" x14ac:dyDescent="0.3">
      <c r="I38" s="14"/>
      <c r="M38" t="s">
        <v>158</v>
      </c>
      <c r="N38" s="14">
        <v>0.08</v>
      </c>
      <c r="O38" t="s">
        <v>167</v>
      </c>
      <c r="R38" s="19">
        <f t="shared" si="3"/>
        <v>40000</v>
      </c>
    </row>
    <row r="39" spans="7:18" x14ac:dyDescent="0.3">
      <c r="I39" s="14"/>
      <c r="M39" t="s">
        <v>158</v>
      </c>
      <c r="N39" s="14">
        <v>0.1</v>
      </c>
      <c r="O39" t="s">
        <v>168</v>
      </c>
      <c r="R39" s="19">
        <f t="shared" si="3"/>
        <v>50000</v>
      </c>
    </row>
    <row r="40" spans="7:18" x14ac:dyDescent="0.3">
      <c r="I40" s="14"/>
      <c r="M40" t="s">
        <v>158</v>
      </c>
      <c r="N40" s="14">
        <v>0.12</v>
      </c>
      <c r="O40" t="s">
        <v>169</v>
      </c>
      <c r="R40" s="19">
        <f t="shared" si="3"/>
        <v>60000</v>
      </c>
    </row>
    <row r="41" spans="7:18" x14ac:dyDescent="0.3">
      <c r="I41" s="14"/>
      <c r="M41" s="22" t="s">
        <v>158</v>
      </c>
      <c r="N41" s="23">
        <v>0.5</v>
      </c>
      <c r="O41" s="22" t="s">
        <v>170</v>
      </c>
      <c r="P41" s="22"/>
      <c r="Q41" s="24"/>
      <c r="R41" s="27">
        <f t="shared" si="3"/>
        <v>250000</v>
      </c>
    </row>
    <row r="42" spans="7:18" x14ac:dyDescent="0.3">
      <c r="I42" s="14"/>
      <c r="R42" s="19">
        <f>SUM(R35:R41)</f>
        <v>500000</v>
      </c>
    </row>
    <row r="43" spans="7:18" x14ac:dyDescent="0.3">
      <c r="I43" s="14"/>
    </row>
    <row r="44" spans="7:18" x14ac:dyDescent="0.3">
      <c r="H44" s="20"/>
      <c r="I44" s="23">
        <v>0.25</v>
      </c>
      <c r="J44" s="22" t="s">
        <v>152</v>
      </c>
      <c r="K44" s="22"/>
      <c r="L44" s="22"/>
      <c r="M44" s="22" t="s">
        <v>159</v>
      </c>
      <c r="N44" s="22"/>
      <c r="O44" s="22"/>
      <c r="P44" s="22"/>
      <c r="Q44" s="24">
        <f>N$3*I44</f>
        <v>250000</v>
      </c>
      <c r="R44" s="22"/>
    </row>
    <row r="45" spans="7:18" x14ac:dyDescent="0.3">
      <c r="I45" s="14"/>
      <c r="M45" t="s">
        <v>158</v>
      </c>
      <c r="N45" s="14">
        <v>0.06</v>
      </c>
      <c r="O45" t="s">
        <v>138</v>
      </c>
      <c r="R45" s="19">
        <f>Q$44*N45</f>
        <v>15000</v>
      </c>
    </row>
    <row r="46" spans="7:18" x14ac:dyDescent="0.3">
      <c r="I46" s="14"/>
      <c r="M46" t="s">
        <v>158</v>
      </c>
      <c r="N46" s="14">
        <v>0.06</v>
      </c>
      <c r="O46" t="s">
        <v>165</v>
      </c>
      <c r="R46" s="19">
        <f t="shared" ref="R46:R51" si="4">Q$44*N46</f>
        <v>15000</v>
      </c>
    </row>
    <row r="47" spans="7:18" x14ac:dyDescent="0.3">
      <c r="I47" s="14"/>
      <c r="M47" t="s">
        <v>158</v>
      </c>
      <c r="N47" s="14">
        <v>0.08</v>
      </c>
      <c r="O47" t="s">
        <v>166</v>
      </c>
      <c r="R47" s="19">
        <f t="shared" si="4"/>
        <v>20000</v>
      </c>
    </row>
    <row r="48" spans="7:18" x14ac:dyDescent="0.3">
      <c r="I48" s="14"/>
      <c r="M48" t="s">
        <v>158</v>
      </c>
      <c r="N48" s="14">
        <v>0.08</v>
      </c>
      <c r="O48" t="s">
        <v>167</v>
      </c>
      <c r="R48" s="19">
        <f t="shared" si="4"/>
        <v>20000</v>
      </c>
    </row>
    <row r="49" spans="8:18" x14ac:dyDescent="0.3">
      <c r="I49" s="14"/>
      <c r="M49" t="s">
        <v>158</v>
      </c>
      <c r="N49" s="14">
        <v>0.1</v>
      </c>
      <c r="O49" t="s">
        <v>168</v>
      </c>
      <c r="R49" s="19">
        <f t="shared" si="4"/>
        <v>25000</v>
      </c>
    </row>
    <row r="50" spans="8:18" x14ac:dyDescent="0.3">
      <c r="I50" s="14"/>
      <c r="M50" t="s">
        <v>158</v>
      </c>
      <c r="N50" s="14">
        <v>0.12</v>
      </c>
      <c r="O50" t="s">
        <v>169</v>
      </c>
      <c r="R50" s="19">
        <f t="shared" si="4"/>
        <v>30000</v>
      </c>
    </row>
    <row r="51" spans="8:18" x14ac:dyDescent="0.3">
      <c r="I51" s="14"/>
      <c r="M51" s="22" t="s">
        <v>158</v>
      </c>
      <c r="N51" s="23">
        <v>0.5</v>
      </c>
      <c r="O51" s="22" t="s">
        <v>170</v>
      </c>
      <c r="P51" s="22"/>
      <c r="Q51" s="24"/>
      <c r="R51" s="27">
        <f t="shared" si="4"/>
        <v>125000</v>
      </c>
    </row>
    <row r="52" spans="8:18" x14ac:dyDescent="0.3">
      <c r="I52" s="14"/>
      <c r="R52" s="19">
        <f>SUM(R45:R51)</f>
        <v>250000</v>
      </c>
    </row>
    <row r="53" spans="8:18" x14ac:dyDescent="0.3">
      <c r="I53" s="14"/>
      <c r="R53" s="19"/>
    </row>
    <row r="54" spans="8:18" x14ac:dyDescent="0.3">
      <c r="H54" s="20"/>
      <c r="I54" s="23">
        <v>0.25</v>
      </c>
      <c r="J54" s="22" t="s">
        <v>163</v>
      </c>
      <c r="K54" s="22"/>
      <c r="L54" s="22"/>
      <c r="M54" s="22" t="s">
        <v>160</v>
      </c>
      <c r="N54" s="22"/>
      <c r="O54" s="22"/>
      <c r="P54" s="22"/>
      <c r="Q54" s="24">
        <f>N$3*I54</f>
        <v>250000</v>
      </c>
      <c r="R54" s="22"/>
    </row>
    <row r="55" spans="8:18" x14ac:dyDescent="0.3">
      <c r="I55" s="14"/>
      <c r="K55" s="15"/>
      <c r="L55" s="11"/>
      <c r="M55" t="s">
        <v>158</v>
      </c>
      <c r="N55" s="15">
        <v>0.05</v>
      </c>
      <c r="O55" s="11" t="s">
        <v>161</v>
      </c>
      <c r="R55" s="19">
        <f>Q$54*N55</f>
        <v>12500</v>
      </c>
    </row>
    <row r="56" spans="8:18" x14ac:dyDescent="0.3">
      <c r="I56" s="14"/>
      <c r="K56" s="14"/>
      <c r="M56" t="s">
        <v>158</v>
      </c>
      <c r="N56" s="15">
        <v>0.12</v>
      </c>
      <c r="O56" s="11" t="s">
        <v>151</v>
      </c>
      <c r="R56" s="19">
        <f t="shared" ref="R56:R59" si="5">Q$54*N56</f>
        <v>30000</v>
      </c>
    </row>
    <row r="57" spans="8:18" x14ac:dyDescent="0.3">
      <c r="M57" t="s">
        <v>158</v>
      </c>
      <c r="N57" s="15">
        <v>0.08</v>
      </c>
      <c r="O57" s="11" t="s">
        <v>152</v>
      </c>
      <c r="R57" s="19">
        <f t="shared" si="5"/>
        <v>20000</v>
      </c>
    </row>
    <row r="58" spans="8:18" x14ac:dyDescent="0.3">
      <c r="M58" t="s">
        <v>158</v>
      </c>
      <c r="N58" s="15">
        <v>0.1</v>
      </c>
      <c r="O58" s="11" t="s">
        <v>162</v>
      </c>
      <c r="R58" s="19">
        <f t="shared" si="5"/>
        <v>25000</v>
      </c>
    </row>
    <row r="59" spans="8:18" x14ac:dyDescent="0.3">
      <c r="M59" s="22" t="s">
        <v>158</v>
      </c>
      <c r="N59" s="25">
        <v>0.65</v>
      </c>
      <c r="O59" s="26" t="s">
        <v>164</v>
      </c>
      <c r="P59" s="22"/>
      <c r="Q59" s="24"/>
      <c r="R59" s="27">
        <f t="shared" si="5"/>
        <v>162500</v>
      </c>
    </row>
    <row r="60" spans="8:18" x14ac:dyDescent="0.3">
      <c r="R60" s="19">
        <f>SUM(R55:R59)</f>
        <v>250000</v>
      </c>
    </row>
    <row r="62" spans="8:18" ht="15" thickBot="1" x14ac:dyDescent="0.35">
      <c r="I62" s="28">
        <f>SUM(I34:I55)</f>
        <v>1</v>
      </c>
      <c r="J62" s="29"/>
      <c r="K62" s="29"/>
      <c r="L62" s="29"/>
      <c r="M62" s="29"/>
      <c r="N62" s="29"/>
      <c r="O62" s="29"/>
      <c r="P62" s="29"/>
      <c r="Q62" s="30">
        <f>SUM(Q34:Q54)</f>
        <v>1000000</v>
      </c>
      <c r="R62" s="31">
        <f>R42+R52+R60</f>
        <v>1000000</v>
      </c>
    </row>
    <row r="63" spans="8:18" ht="15" thickTop="1" x14ac:dyDescent="0.3"/>
    <row r="65" spans="7:16" x14ac:dyDescent="0.3">
      <c r="K65" t="s">
        <v>171</v>
      </c>
    </row>
    <row r="66" spans="7:16" x14ac:dyDescent="0.3">
      <c r="L66" t="s">
        <v>151</v>
      </c>
      <c r="O66" s="19">
        <f>R41+R56</f>
        <v>280000</v>
      </c>
    </row>
    <row r="67" spans="7:16" x14ac:dyDescent="0.3">
      <c r="L67" t="s">
        <v>152</v>
      </c>
      <c r="O67" s="19">
        <f>R51+R57</f>
        <v>145000</v>
      </c>
    </row>
    <row r="69" spans="7:16" x14ac:dyDescent="0.3">
      <c r="K69" t="s">
        <v>172</v>
      </c>
      <c r="O69" s="19">
        <f>R58</f>
        <v>25000</v>
      </c>
      <c r="P69" s="2" t="s">
        <v>173</v>
      </c>
    </row>
    <row r="72" spans="7:16" x14ac:dyDescent="0.3">
      <c r="G72">
        <v>2</v>
      </c>
      <c r="H72" s="11" t="s">
        <v>153</v>
      </c>
    </row>
    <row r="73" spans="7:16" x14ac:dyDescent="0.3">
      <c r="I73" s="14">
        <v>0.35</v>
      </c>
      <c r="J73" t="s">
        <v>154</v>
      </c>
    </row>
    <row r="74" spans="7:16" x14ac:dyDescent="0.3">
      <c r="I74" s="14">
        <v>0.65</v>
      </c>
      <c r="J74" t="s">
        <v>155</v>
      </c>
    </row>
    <row r="76" spans="7:16" x14ac:dyDescent="0.3">
      <c r="G76">
        <v>3</v>
      </c>
      <c r="H76" s="11" t="s">
        <v>156</v>
      </c>
    </row>
    <row r="77" spans="7:16" x14ac:dyDescent="0.3">
      <c r="I77" s="14">
        <v>0.35</v>
      </c>
      <c r="J77" t="s">
        <v>154</v>
      </c>
    </row>
    <row r="78" spans="7:16" x14ac:dyDescent="0.3">
      <c r="I78" s="14">
        <v>0.65</v>
      </c>
      <c r="J78" t="s">
        <v>155</v>
      </c>
    </row>
    <row r="80" spans="7:16" x14ac:dyDescent="0.3">
      <c r="G80">
        <v>4</v>
      </c>
      <c r="H80" s="11" t="s">
        <v>157</v>
      </c>
    </row>
    <row r="81" spans="9:10" x14ac:dyDescent="0.3">
      <c r="I81" s="14">
        <v>0.35</v>
      </c>
      <c r="J81" t="s">
        <v>154</v>
      </c>
    </row>
    <row r="82" spans="9:10" x14ac:dyDescent="0.3">
      <c r="I82" s="14">
        <v>0.65</v>
      </c>
      <c r="J82" t="s">
        <v>155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549D-2F6A-4D63-95C2-9E7C0B3E7862}">
  <dimension ref="G2:N45"/>
  <sheetViews>
    <sheetView showGridLines="0" tabSelected="1" topLeftCell="F1" workbookViewId="0">
      <selection activeCell="R35" sqref="R35"/>
    </sheetView>
  </sheetViews>
  <sheetFormatPr defaultRowHeight="14.4" x14ac:dyDescent="0.3"/>
  <cols>
    <col min="2" max="2" width="4.21875" customWidth="1"/>
    <col min="3" max="3" width="3.33203125" customWidth="1"/>
    <col min="7" max="7" width="3.44140625" customWidth="1"/>
    <col min="8" max="8" width="3.88671875" customWidth="1"/>
    <col min="9" max="9" width="5.44140625" bestFit="1" customWidth="1"/>
    <col min="10" max="10" width="2.77734375" customWidth="1"/>
    <col min="11" max="11" width="5.21875" customWidth="1"/>
    <col min="12" max="12" width="20.6640625" customWidth="1"/>
    <col min="13" max="13" width="11.33203125" bestFit="1" customWidth="1"/>
    <col min="14" max="14" width="10.33203125" bestFit="1" customWidth="1"/>
  </cols>
  <sheetData>
    <row r="2" spans="7:14" x14ac:dyDescent="0.3">
      <c r="G2" s="17" t="s">
        <v>149</v>
      </c>
    </row>
    <row r="3" spans="7:14" x14ac:dyDescent="0.3">
      <c r="G3" s="16"/>
      <c r="I3" s="11"/>
      <c r="N3" s="18"/>
    </row>
    <row r="4" spans="7:14" ht="15" thickBot="1" x14ac:dyDescent="0.35">
      <c r="G4" s="33">
        <v>1</v>
      </c>
      <c r="H4" s="38" t="s">
        <v>150</v>
      </c>
      <c r="I4" s="33"/>
      <c r="J4" s="33"/>
      <c r="K4" s="33"/>
      <c r="L4" s="39">
        <v>1000000</v>
      </c>
      <c r="M4" s="33"/>
      <c r="N4" s="33"/>
    </row>
    <row r="5" spans="7:14" x14ac:dyDescent="0.3">
      <c r="I5" s="23">
        <v>0.5</v>
      </c>
      <c r="J5" s="22" t="s">
        <v>151</v>
      </c>
      <c r="K5" s="22"/>
      <c r="L5" s="22"/>
      <c r="M5" s="27">
        <f>L4*I5</f>
        <v>500000</v>
      </c>
      <c r="N5" s="22"/>
    </row>
    <row r="6" spans="7:14" hidden="1" x14ac:dyDescent="0.3">
      <c r="I6" s="14"/>
      <c r="J6" t="s">
        <v>158</v>
      </c>
      <c r="K6" s="14">
        <v>0.06</v>
      </c>
      <c r="L6" t="s">
        <v>138</v>
      </c>
      <c r="M6" s="19">
        <f>M$5*K6</f>
        <v>30000</v>
      </c>
    </row>
    <row r="7" spans="7:14" hidden="1" x14ac:dyDescent="0.3">
      <c r="I7" s="14"/>
      <c r="J7" t="s">
        <v>158</v>
      </c>
      <c r="K7" s="14">
        <v>0.06</v>
      </c>
      <c r="L7" t="s">
        <v>165</v>
      </c>
      <c r="M7" s="19">
        <f t="shared" ref="M7:M12" si="0">M$5*K7</f>
        <v>30000</v>
      </c>
    </row>
    <row r="8" spans="7:14" hidden="1" x14ac:dyDescent="0.3">
      <c r="I8" s="14"/>
      <c r="J8" t="s">
        <v>158</v>
      </c>
      <c r="K8" s="14">
        <v>0.08</v>
      </c>
      <c r="L8" t="s">
        <v>166</v>
      </c>
      <c r="M8" s="19">
        <f t="shared" si="0"/>
        <v>40000</v>
      </c>
    </row>
    <row r="9" spans="7:14" hidden="1" x14ac:dyDescent="0.3">
      <c r="I9" s="14"/>
      <c r="J9" t="s">
        <v>158</v>
      </c>
      <c r="K9" s="14">
        <v>0.08</v>
      </c>
      <c r="L9" t="s">
        <v>167</v>
      </c>
      <c r="M9" s="19">
        <f t="shared" si="0"/>
        <v>40000</v>
      </c>
    </row>
    <row r="10" spans="7:14" hidden="1" x14ac:dyDescent="0.3">
      <c r="I10" s="14"/>
      <c r="J10" t="s">
        <v>158</v>
      </c>
      <c r="K10" s="14">
        <v>0.1</v>
      </c>
      <c r="L10" t="s">
        <v>168</v>
      </c>
      <c r="M10" s="19">
        <f t="shared" si="0"/>
        <v>50000</v>
      </c>
    </row>
    <row r="11" spans="7:14" hidden="1" x14ac:dyDescent="0.3">
      <c r="I11" s="14"/>
      <c r="J11" t="s">
        <v>158</v>
      </c>
      <c r="K11" s="14">
        <v>0.12</v>
      </c>
      <c r="L11" t="s">
        <v>169</v>
      </c>
      <c r="M11" s="19">
        <f t="shared" si="0"/>
        <v>60000</v>
      </c>
    </row>
    <row r="12" spans="7:14" hidden="1" x14ac:dyDescent="0.3">
      <c r="I12" s="14"/>
      <c r="J12" s="22" t="s">
        <v>158</v>
      </c>
      <c r="K12" s="23">
        <v>0.5</v>
      </c>
      <c r="L12" s="22" t="s">
        <v>170</v>
      </c>
      <c r="M12" s="27">
        <f t="shared" si="0"/>
        <v>250000</v>
      </c>
      <c r="N12" s="22"/>
    </row>
    <row r="13" spans="7:14" hidden="1" x14ac:dyDescent="0.3">
      <c r="I13" s="14"/>
    </row>
    <row r="14" spans="7:14" x14ac:dyDescent="0.3">
      <c r="H14" s="20"/>
      <c r="I14" s="23">
        <v>0.25</v>
      </c>
      <c r="J14" s="22" t="s">
        <v>152</v>
      </c>
      <c r="K14" s="22"/>
      <c r="L14" s="22"/>
      <c r="M14" s="27">
        <f>L4*I14</f>
        <v>250000</v>
      </c>
      <c r="N14" s="22"/>
    </row>
    <row r="15" spans="7:14" hidden="1" x14ac:dyDescent="0.3">
      <c r="I15" s="14"/>
      <c r="J15" t="s">
        <v>158</v>
      </c>
      <c r="K15" s="14">
        <v>0.06</v>
      </c>
      <c r="L15" t="s">
        <v>138</v>
      </c>
      <c r="M15" s="19">
        <f>M$14*K15</f>
        <v>15000</v>
      </c>
    </row>
    <row r="16" spans="7:14" hidden="1" x14ac:dyDescent="0.3">
      <c r="I16" s="14"/>
      <c r="J16" t="s">
        <v>158</v>
      </c>
      <c r="K16" s="14">
        <v>0.06</v>
      </c>
      <c r="L16" t="s">
        <v>165</v>
      </c>
      <c r="M16" s="19">
        <f t="shared" ref="M16:M21" si="1">M$14*K16</f>
        <v>15000</v>
      </c>
    </row>
    <row r="17" spans="8:14" hidden="1" x14ac:dyDescent="0.3">
      <c r="I17" s="14"/>
      <c r="J17" t="s">
        <v>158</v>
      </c>
      <c r="K17" s="14">
        <v>0.08</v>
      </c>
      <c r="L17" t="s">
        <v>166</v>
      </c>
      <c r="M17" s="19">
        <f t="shared" si="1"/>
        <v>20000</v>
      </c>
    </row>
    <row r="18" spans="8:14" hidden="1" x14ac:dyDescent="0.3">
      <c r="I18" s="14"/>
      <c r="J18" t="s">
        <v>158</v>
      </c>
      <c r="K18" s="14">
        <v>0.08</v>
      </c>
      <c r="L18" t="s">
        <v>167</v>
      </c>
      <c r="M18" s="19">
        <f t="shared" si="1"/>
        <v>20000</v>
      </c>
    </row>
    <row r="19" spans="8:14" hidden="1" x14ac:dyDescent="0.3">
      <c r="I19" s="14"/>
      <c r="J19" t="s">
        <v>158</v>
      </c>
      <c r="K19" s="14">
        <v>0.1</v>
      </c>
      <c r="L19" t="s">
        <v>168</v>
      </c>
      <c r="M19" s="19">
        <f t="shared" si="1"/>
        <v>25000</v>
      </c>
    </row>
    <row r="20" spans="8:14" hidden="1" x14ac:dyDescent="0.3">
      <c r="I20" s="14"/>
      <c r="J20" t="s">
        <v>158</v>
      </c>
      <c r="K20" s="14">
        <v>0.12</v>
      </c>
      <c r="L20" t="s">
        <v>169</v>
      </c>
      <c r="M20" s="19">
        <f t="shared" si="1"/>
        <v>30000</v>
      </c>
    </row>
    <row r="21" spans="8:14" hidden="1" x14ac:dyDescent="0.3">
      <c r="I21" s="14"/>
      <c r="J21" s="22" t="s">
        <v>158</v>
      </c>
      <c r="K21" s="23">
        <v>0.5</v>
      </c>
      <c r="L21" s="22" t="s">
        <v>170</v>
      </c>
      <c r="M21" s="27">
        <f t="shared" si="1"/>
        <v>125000</v>
      </c>
      <c r="N21" s="22"/>
    </row>
    <row r="22" spans="8:14" hidden="1" x14ac:dyDescent="0.3">
      <c r="I22" s="14"/>
    </row>
    <row r="23" spans="8:14" x14ac:dyDescent="0.3">
      <c r="H23" s="20"/>
      <c r="I23" s="23">
        <v>0.25</v>
      </c>
      <c r="J23" s="22" t="s">
        <v>163</v>
      </c>
      <c r="K23" s="22"/>
      <c r="L23" s="22"/>
      <c r="M23" s="27">
        <f>L4*I23</f>
        <v>250000</v>
      </c>
      <c r="N23" s="22"/>
    </row>
    <row r="24" spans="8:14" x14ac:dyDescent="0.3">
      <c r="I24" s="14"/>
      <c r="J24" t="s">
        <v>158</v>
      </c>
      <c r="K24" s="15">
        <v>0.05</v>
      </c>
      <c r="L24" s="11" t="s">
        <v>161</v>
      </c>
      <c r="M24" s="19">
        <f>M$23*K24</f>
        <v>12500</v>
      </c>
    </row>
    <row r="25" spans="8:14" x14ac:dyDescent="0.3">
      <c r="I25" s="14"/>
      <c r="K25" s="15"/>
      <c r="L25" s="11"/>
      <c r="M25" s="19"/>
    </row>
    <row r="26" spans="8:14" x14ac:dyDescent="0.3">
      <c r="I26" s="14"/>
      <c r="J26" s="22" t="s">
        <v>158</v>
      </c>
      <c r="K26" s="25">
        <v>0.12</v>
      </c>
      <c r="L26" s="26" t="s">
        <v>151</v>
      </c>
      <c r="M26" s="27">
        <f t="shared" ref="M26:M45" si="2">M$23*K26</f>
        <v>30000</v>
      </c>
      <c r="N26" s="22"/>
    </row>
    <row r="27" spans="8:14" x14ac:dyDescent="0.3">
      <c r="I27" s="14"/>
      <c r="K27" s="14">
        <v>0.06</v>
      </c>
      <c r="L27" t="s">
        <v>138</v>
      </c>
      <c r="M27" s="19"/>
      <c r="N27" s="19">
        <f>M$26*K27</f>
        <v>1800</v>
      </c>
    </row>
    <row r="28" spans="8:14" x14ac:dyDescent="0.3">
      <c r="I28" s="14"/>
      <c r="K28" s="14">
        <v>0.06</v>
      </c>
      <c r="L28" t="s">
        <v>165</v>
      </c>
      <c r="M28" s="19"/>
      <c r="N28" s="19">
        <f t="shared" ref="N28:N33" si="3">M$26*K28</f>
        <v>1800</v>
      </c>
    </row>
    <row r="29" spans="8:14" x14ac:dyDescent="0.3">
      <c r="I29" s="14"/>
      <c r="K29" s="14">
        <v>0.08</v>
      </c>
      <c r="L29" t="s">
        <v>166</v>
      </c>
      <c r="M29" s="19"/>
      <c r="N29" s="19">
        <f t="shared" si="3"/>
        <v>2400</v>
      </c>
    </row>
    <row r="30" spans="8:14" x14ac:dyDescent="0.3">
      <c r="I30" s="14"/>
      <c r="K30" s="14">
        <v>0.08</v>
      </c>
      <c r="L30" t="s">
        <v>167</v>
      </c>
      <c r="M30" s="19"/>
      <c r="N30" s="19">
        <f t="shared" si="3"/>
        <v>2400</v>
      </c>
    </row>
    <row r="31" spans="8:14" x14ac:dyDescent="0.3">
      <c r="I31" s="14"/>
      <c r="K31" s="14">
        <v>0.1</v>
      </c>
      <c r="L31" t="s">
        <v>168</v>
      </c>
      <c r="M31" s="19"/>
      <c r="N31" s="19">
        <f t="shared" si="3"/>
        <v>3000</v>
      </c>
    </row>
    <row r="32" spans="8:14" x14ac:dyDescent="0.3">
      <c r="I32" s="14"/>
      <c r="K32" s="14">
        <v>0.12</v>
      </c>
      <c r="L32" t="s">
        <v>169</v>
      </c>
      <c r="M32" s="19"/>
      <c r="N32" s="19">
        <f t="shared" si="3"/>
        <v>3600</v>
      </c>
    </row>
    <row r="33" spans="9:14" x14ac:dyDescent="0.3">
      <c r="I33" s="14"/>
      <c r="J33" s="22"/>
      <c r="K33" s="23">
        <v>0.5</v>
      </c>
      <c r="L33" s="22" t="s">
        <v>170</v>
      </c>
      <c r="M33" s="27"/>
      <c r="N33" s="27">
        <f t="shared" si="3"/>
        <v>15000</v>
      </c>
    </row>
    <row r="34" spans="9:14" x14ac:dyDescent="0.3">
      <c r="I34" s="14"/>
      <c r="K34" s="21"/>
      <c r="L34" s="20"/>
      <c r="M34" s="35"/>
      <c r="N34" s="35"/>
    </row>
    <row r="35" spans="9:14" x14ac:dyDescent="0.3">
      <c r="J35" s="22" t="s">
        <v>158</v>
      </c>
      <c r="K35" s="25">
        <v>0.08</v>
      </c>
      <c r="L35" s="26" t="s">
        <v>152</v>
      </c>
      <c r="M35" s="27">
        <f t="shared" si="2"/>
        <v>20000</v>
      </c>
      <c r="N35" s="22"/>
    </row>
    <row r="36" spans="9:14" x14ac:dyDescent="0.3">
      <c r="I36" s="14"/>
      <c r="K36" s="14">
        <v>0.06</v>
      </c>
      <c r="L36" t="s">
        <v>138</v>
      </c>
      <c r="M36" s="19"/>
      <c r="N36" s="19">
        <f>M$35*K36</f>
        <v>1200</v>
      </c>
    </row>
    <row r="37" spans="9:14" x14ac:dyDescent="0.3">
      <c r="I37" s="14"/>
      <c r="K37" s="14">
        <v>0.06</v>
      </c>
      <c r="L37" t="s">
        <v>165</v>
      </c>
      <c r="M37" s="19"/>
      <c r="N37" s="19">
        <f t="shared" ref="N37:N42" si="4">M$35*K37</f>
        <v>1200</v>
      </c>
    </row>
    <row r="38" spans="9:14" x14ac:dyDescent="0.3">
      <c r="I38" s="14"/>
      <c r="K38" s="14">
        <v>0.08</v>
      </c>
      <c r="L38" t="s">
        <v>166</v>
      </c>
      <c r="M38" s="19"/>
      <c r="N38" s="19">
        <f t="shared" si="4"/>
        <v>1600</v>
      </c>
    </row>
    <row r="39" spans="9:14" x14ac:dyDescent="0.3">
      <c r="I39" s="14"/>
      <c r="K39" s="14">
        <v>0.08</v>
      </c>
      <c r="L39" t="s">
        <v>167</v>
      </c>
      <c r="M39" s="19"/>
      <c r="N39" s="19">
        <f t="shared" si="4"/>
        <v>1600</v>
      </c>
    </row>
    <row r="40" spans="9:14" x14ac:dyDescent="0.3">
      <c r="I40" s="14"/>
      <c r="K40" s="14">
        <v>0.1</v>
      </c>
      <c r="L40" t="s">
        <v>168</v>
      </c>
      <c r="M40" s="19"/>
      <c r="N40" s="19">
        <f t="shared" si="4"/>
        <v>2000</v>
      </c>
    </row>
    <row r="41" spans="9:14" x14ac:dyDescent="0.3">
      <c r="I41" s="14"/>
      <c r="K41" s="14">
        <v>0.12</v>
      </c>
      <c r="L41" t="s">
        <v>169</v>
      </c>
      <c r="M41" s="19"/>
      <c r="N41" s="19">
        <f t="shared" si="4"/>
        <v>2400</v>
      </c>
    </row>
    <row r="42" spans="9:14" x14ac:dyDescent="0.3">
      <c r="I42" s="14"/>
      <c r="K42" s="23">
        <v>0.5</v>
      </c>
      <c r="L42" s="22" t="s">
        <v>170</v>
      </c>
      <c r="M42" s="27"/>
      <c r="N42" s="27">
        <f t="shared" si="4"/>
        <v>10000</v>
      </c>
    </row>
    <row r="43" spans="9:14" x14ac:dyDescent="0.3">
      <c r="I43" s="14"/>
      <c r="K43" s="21"/>
      <c r="L43" s="20"/>
      <c r="M43" s="35"/>
      <c r="N43" s="35"/>
    </row>
    <row r="44" spans="9:14" x14ac:dyDescent="0.3">
      <c r="J44" t="s">
        <v>158</v>
      </c>
      <c r="K44" s="15">
        <v>0.1</v>
      </c>
      <c r="L44" s="11" t="s">
        <v>162</v>
      </c>
      <c r="M44" s="19">
        <f t="shared" si="2"/>
        <v>25000</v>
      </c>
    </row>
    <row r="45" spans="9:14" x14ac:dyDescent="0.3">
      <c r="J45" s="20" t="s">
        <v>158</v>
      </c>
      <c r="K45" s="36">
        <v>0.65</v>
      </c>
      <c r="L45" s="37" t="s">
        <v>164</v>
      </c>
      <c r="M45" s="35">
        <f t="shared" si="2"/>
        <v>162500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A320-B8AA-4583-A591-C56362E22FC5}">
  <dimension ref="A1:X4"/>
  <sheetViews>
    <sheetView zoomScale="85" zoomScaleNormal="85" workbookViewId="0">
      <pane ySplit="1" topLeftCell="A2" activePane="bottomLeft" state="frozen"/>
      <selection pane="bottomLeft" sqref="A1:XFD4"/>
    </sheetView>
  </sheetViews>
  <sheetFormatPr defaultRowHeight="14.4" x14ac:dyDescent="0.3"/>
  <cols>
    <col min="1" max="24" width="18" customWidth="1"/>
  </cols>
  <sheetData>
    <row r="1" spans="1:24" x14ac:dyDescent="0.3">
      <c r="A1" s="13" t="s">
        <v>57</v>
      </c>
      <c r="B1" s="13" t="s">
        <v>58</v>
      </c>
      <c r="C1" s="13" t="s">
        <v>59</v>
      </c>
      <c r="D1" s="13" t="s">
        <v>125</v>
      </c>
      <c r="E1" s="13" t="s">
        <v>1</v>
      </c>
      <c r="F1" s="13" t="s">
        <v>0</v>
      </c>
      <c r="G1" s="13" t="s">
        <v>2</v>
      </c>
      <c r="H1" s="13" t="s">
        <v>89</v>
      </c>
      <c r="I1" s="13" t="s">
        <v>3</v>
      </c>
      <c r="J1" s="13" t="s">
        <v>133</v>
      </c>
      <c r="K1" s="13" t="s">
        <v>132</v>
      </c>
      <c r="L1" s="13" t="s">
        <v>126</v>
      </c>
      <c r="M1" s="13" t="s">
        <v>127</v>
      </c>
      <c r="N1" s="13" t="s">
        <v>128</v>
      </c>
      <c r="O1" s="13" t="s">
        <v>129</v>
      </c>
      <c r="P1" s="13" t="s">
        <v>130</v>
      </c>
      <c r="Q1" s="13" t="s">
        <v>143</v>
      </c>
      <c r="R1" s="13" t="s">
        <v>131</v>
      </c>
      <c r="S1" s="13" t="s">
        <v>141</v>
      </c>
      <c r="T1" s="13" t="s">
        <v>142</v>
      </c>
      <c r="U1" s="13" t="s">
        <v>144</v>
      </c>
      <c r="V1" s="13" t="s">
        <v>134</v>
      </c>
      <c r="W1" s="13" t="s">
        <v>135</v>
      </c>
      <c r="X1" s="13" t="s">
        <v>145</v>
      </c>
    </row>
    <row r="2" spans="1:24" x14ac:dyDescent="0.3">
      <c r="D2" t="s">
        <v>138</v>
      </c>
      <c r="G2" t="s">
        <v>136</v>
      </c>
      <c r="V2" t="s">
        <v>137</v>
      </c>
    </row>
    <row r="3" spans="1:24" x14ac:dyDescent="0.3">
      <c r="D3" t="s">
        <v>139</v>
      </c>
      <c r="V3" t="s">
        <v>146</v>
      </c>
    </row>
    <row r="4" spans="1:24" x14ac:dyDescent="0.3">
      <c r="D4" t="s">
        <v>140</v>
      </c>
      <c r="V4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members</vt:lpstr>
      <vt:lpstr>contractors</vt:lpstr>
      <vt:lpstr>commission</vt:lpstr>
      <vt:lpstr>level</vt:lpstr>
      <vt:lpstr>level (2)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clee axe</dc:creator>
  <cp:lastModifiedBy>clee axe</cp:lastModifiedBy>
  <dcterms:created xsi:type="dcterms:W3CDTF">2026-06-25T03:59:53Z</dcterms:created>
  <dcterms:modified xsi:type="dcterms:W3CDTF">2026-07-04T08:20:40Z</dcterms:modified>
</cp:coreProperties>
</file>